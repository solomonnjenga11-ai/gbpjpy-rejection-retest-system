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es" sheetId="2" state="visible" r:id="rId4"/>
    <sheet name="Improvement Tests" sheetId="3" state="visible" r:id="rId5"/>
    <sheet name="By Year" sheetId="4" state="visible" r:id="rId6"/>
    <sheet name="Monthly" sheetId="5" state="visible" r:id="rId7"/>
    <sheet name="Versions &amp; Stops" sheetId="6" state="visible" r:id="rId8"/>
    <sheet name="Rules &amp; Next Steps" sheetId="7" state="visible" r:id="rId9"/>
  </sheets>
  <definedNames>
    <definedName function="false" hidden="true" localSheetId="1" name="_xlnm._FilterDatabase" vbProcedure="false">Trades!$A$1:$T$556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0.5% fixed risk per trade, as Solomon specified.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1" authorId="0">
      <text>
        <r>
          <rPr>
            <sz val="10"/>
            <rFont val="Arial"/>
            <family val="2"/>
          </rPr>
          <t xml:space="preserve">R = profit or loss as a multiple of the amount risked, after spread and slippage. Source: Claude's backtest on OANDA GBPJPY 15-minute data uploaded by Solomon, run 16 Oct 2026.</t>
        </r>
      </text>
    </comment>
  </commentList>
</comments>
</file>

<file path=xl/sharedStrings.xml><?xml version="1.0" encoding="utf-8"?>
<sst xmlns="http://schemas.openxmlformats.org/spreadsheetml/2006/main" count="1821" uniqueCount="131">
  <si>
    <t xml:space="preserve">GBPJPY rules backtest, real OANDA data, Jan 2005 – Oct 2026</t>
  </si>
  <si>
    <t xml:space="preserve">Levels drawn from daily candle closes. Fixed risk per trade, spread and slippage included. Every figure below is calculated from the Trades sheet.</t>
  </si>
  <si>
    <t xml:space="preserve">Starting balance ($)</t>
  </si>
  <si>
    <t xml:space="preserve">Inputs: change the yellow cells to see other balances or risk levels.</t>
  </si>
  <si>
    <t xml:space="preserve">Risk per trade</t>
  </si>
  <si>
    <t xml:space="preserve">Headline results</t>
  </si>
  <si>
    <t xml:space="preserve">Trades</t>
  </si>
  <si>
    <t xml:space="preserve">Hit target</t>
  </si>
  <si>
    <t xml:space="preserve">Average result per trade (R)</t>
  </si>
  <si>
    <t xml:space="preserve">Total result (R)</t>
  </si>
  <si>
    <t xml:space="preserve">Ending balance ($)</t>
  </si>
  <si>
    <t xml:space="preserve">Total return</t>
  </si>
  <si>
    <t xml:space="preserve">Return per year (compounded)</t>
  </si>
  <si>
    <t xml:space="preserve">Max drawdown</t>
  </si>
  <si>
    <t xml:space="preserve">Years with a positive result</t>
  </si>
  <si>
    <t xml:space="preserve">Worst month</t>
  </si>
  <si>
    <t xml:space="preserve">Months with a profit</t>
  </si>
  <si>
    <t xml:space="preserve">Results by period</t>
  </si>
  <si>
    <t xml:space="preserve">Period</t>
  </si>
  <si>
    <t xml:space="preserve">Avg R per trade</t>
  </si>
  <si>
    <t xml:space="preserve">Total R</t>
  </si>
  <si>
    <t xml:space="preserve">2005–2014</t>
  </si>
  <si>
    <t xml:space="preserve">2015 – Mar 2022</t>
  </si>
  <si>
    <t xml:space="preserve">Mar 2022 – Oct 2026</t>
  </si>
  <si>
    <t xml:space="preserve">All</t>
  </si>
  <si>
    <t xml:space="preserve">Results by setup</t>
  </si>
  <si>
    <t xml:space="preserve">Setup</t>
  </si>
  <si>
    <t xml:space="preserve">Rejection</t>
  </si>
  <si>
    <t xml:space="preserve">Break &amp; retest</t>
  </si>
  <si>
    <t xml:space="preserve">Outcomes</t>
  </si>
  <si>
    <t xml:space="preserve">Outcome</t>
  </si>
  <si>
    <t xml:space="preserve">Share</t>
  </si>
  <si>
    <t xml:space="preserve">Avg R</t>
  </si>
  <si>
    <t xml:space="preserve">Target</t>
  </si>
  <si>
    <t xml:space="preserve">Stop</t>
  </si>
  <si>
    <t xml:space="preserve">Breakeven</t>
  </si>
  <si>
    <t xml:space="preserve">Time stop</t>
  </si>
  <si>
    <t xml:space="preserve">Note: monthly figures sum each month's trade returns, so they can differ slightly from the compounded figures in the chat summary (for example worst month −2.5%).</t>
  </si>
  <si>
    <t xml:space="preserve">#</t>
  </si>
  <si>
    <t xml:space="preserve">Side</t>
  </si>
  <si>
    <t xml:space="preserve">Signal (UTC)</t>
  </si>
  <si>
    <t xml:space="preserve">Entry (UTC)</t>
  </si>
  <si>
    <t xml:space="preserve">Exit (UTC)</t>
  </si>
  <si>
    <t xml:space="preserve">Year</t>
  </si>
  <si>
    <t xml:space="preserve">Entry price</t>
  </si>
  <si>
    <t xml:space="preserve">Planned R:R</t>
  </si>
  <si>
    <t xml:space="preserve">Risk (pips)</t>
  </si>
  <si>
    <t xml:space="preserve">Result (R)</t>
  </si>
  <si>
    <t xml:space="preserve">Account return</t>
  </si>
  <si>
    <t xml:space="preserve">Equity</t>
  </si>
  <si>
    <t xml:space="preserve">Peak equity</t>
  </si>
  <si>
    <t xml:space="preserve">Drawdown</t>
  </si>
  <si>
    <t xml:space="preserve">Exit month</t>
  </si>
  <si>
    <t xml:space="preserve">Buy</t>
  </si>
  <si>
    <t xml:space="preserve">Sell</t>
  </si>
  <si>
    <t xml:space="preserve">Improvement tests: chosen on 2005–2016, checked once on 2017–2026</t>
  </si>
  <si>
    <t xml:space="preserve">Source: Claude backtest runs on OANDA GBPJPY 15m data, 16 Oct 2026. Typed values from separate runs. Avg R = average result per trade.</t>
  </si>
  <si>
    <t xml:space="preserve">Change tested</t>
  </si>
  <si>
    <t xml:space="preserve">Trades 2005–16</t>
  </si>
  <si>
    <t xml:space="preserve">Avg R 2005–16</t>
  </si>
  <si>
    <t xml:space="preserve">Trades 2017–26</t>
  </si>
  <si>
    <t xml:space="preserve">Avg R 2017–26</t>
  </si>
  <si>
    <t xml:space="preserve">Verdict</t>
  </si>
  <si>
    <t xml:space="preserve">Current system (keep)</t>
  </si>
  <si>
    <t xml:space="preserve">Keep</t>
  </si>
  <si>
    <t xml:space="preserve">Rejection setup only</t>
  </si>
  <si>
    <t xml:space="preserve">Rejected: worse after 2016</t>
  </si>
  <si>
    <t xml:space="preserve">Rejection only + breakeven at 2R</t>
  </si>
  <si>
    <t xml:space="preserve">Rejected</t>
  </si>
  <si>
    <t xml:space="preserve">Rejection only + no breakeven</t>
  </si>
  <si>
    <t xml:space="preserve">Rejected: best before 2016, weak after</t>
  </si>
  <si>
    <t xml:space="preserve">Rejection only + next target out</t>
  </si>
  <si>
    <t xml:space="preserve">Rejection only + 5-day pause after a stop</t>
  </si>
  <si>
    <t xml:space="preserve">No breakeven + 50-day trend filter</t>
  </si>
  <si>
    <t xml:space="preserve">Rejected: failed after 2016</t>
  </si>
  <si>
    <t xml:space="preserve">No breakeven + skip high volatility</t>
  </si>
  <si>
    <t xml:space="preserve">No breakeven + wick at least half the range</t>
  </si>
  <si>
    <t xml:space="preserve">No breakeven + trend + skip high volatility</t>
  </si>
  <si>
    <t xml:space="preserve">ML filter (logistic regression, top 70%)</t>
  </si>
  <si>
    <t xml:space="preserve">Rejected on training years; not tested further</t>
  </si>
  <si>
    <t xml:space="preserve">Result: every change that improved 2005–2016 did worse than the current system on 2017–2026. The improvements fitted the past rather than finding a lasting edge, so the current rules stay unchanged.</t>
  </si>
  <si>
    <t xml:space="preserve">Result by year (entry year)</t>
  </si>
  <si>
    <t xml:space="preserve">2026 runs to 16 Oct. Account return sums the year's trade returns at the risk set on the Summary sheet.</t>
  </si>
  <si>
    <t xml:space="preserve">Account return by month (exit month)</t>
  </si>
  <si>
    <t xml:space="preserve">Month</t>
  </si>
  <si>
    <t xml:space="preserve">Return</t>
  </si>
  <si>
    <t xml:space="preserve">Rule versions and stop sizes tested</t>
  </si>
  <si>
    <t xml:space="preserve">Source: separate backtest runs by Claude on the same OANDA GBPJPY data, 16 Oct 2026. These are outputs of other runs, so they are typed values, not formulas.</t>
  </si>
  <si>
    <t xml:space="preserve">Rule version</t>
  </si>
  <si>
    <t xml:space="preserve">Avg R, all</t>
  </si>
  <si>
    <t xml:space="preserve">Avg R 2005–14</t>
  </si>
  <si>
    <t xml:space="preserve">Avg R 2015–Mar 22</t>
  </si>
  <si>
    <t xml:space="preserve">Avg R Mar 22–Oct 26</t>
  </si>
  <si>
    <t xml:space="preserve">Levels from wicks (first run)</t>
  </si>
  <si>
    <t xml:space="preserve">+ newer setup replaces stale order</t>
  </si>
  <si>
    <t xml:space="preserve">Levels from closes (main version)</t>
  </si>
  <si>
    <t xml:space="preserve">Both fixes</t>
  </si>
  <si>
    <t xml:space="preserve">Stop size (main version)</t>
  </si>
  <si>
    <t xml:space="preserve">Stop, typical GBPJPY (pips)</t>
  </si>
  <si>
    <t xml:space="preserve">0.31 × daily ATR</t>
  </si>
  <si>
    <t xml:space="preserve">0.41 × daily ATR (main)</t>
  </si>
  <si>
    <t xml:space="preserve">0.51 × daily ATR</t>
  </si>
  <si>
    <t xml:space="preserve">Typical pips use GBPJPY's median daily range of 133.5 pips (2005–2020).</t>
  </si>
  <si>
    <t xml:space="preserve">Rules tested and what comes next</t>
  </si>
  <si>
    <t xml:space="preserve">RULES</t>
  </si>
  <si>
    <t xml:space="preserve">Market and data</t>
  </si>
  <si>
    <t xml:space="preserve">GBPJPY, OANDA 15-minute prices (mid), Jan 2005 – 16 Oct 2026, downloaded by Solomon from his OANDA demo account.</t>
  </si>
  <si>
    <t xml:space="preserve">Daily zone</t>
  </si>
  <si>
    <t xml:space="preserve">A level with 3+ touches in the past year, drawn from daily candle opens/closes (not wicks). Zone = level ± 0.3 daily ATR (about ±40 pips).</t>
  </si>
  <si>
    <t xml:space="preserve">Rejection setup</t>
  </si>
  <si>
    <t xml:space="preserve">Daily candle trades through the level but closes back on the original side with a wick ≥ 1/3 of its range. On 15m: wait for a higher high (lower low for sells) near the zone; limit order at the broken 15m swing.</t>
  </si>
  <si>
    <t xml:space="preserve">Break &amp; retest setup</t>
  </si>
  <si>
    <t xml:space="preserve">Daily close beyond the far edge of the zone. Limit order back at the level for the retest.</t>
  </si>
  <si>
    <t xml:space="preserve">Stop / target</t>
  </si>
  <si>
    <t xml:space="preserve">Stop 0.41 daily ATR (~55 pips). Target = nearest daily level giving ≥ 3R and no more than 4 daily ATR away. Otherwise skip.</t>
  </si>
  <si>
    <t xml:space="preserve">Management</t>
  </si>
  <si>
    <t xml:space="preserve">Breakeven once at +1.2R. 20-day time stop. A newer daily setup does not cancel a pending order in this version. Fixed 0.5% risk.</t>
  </si>
  <si>
    <t xml:space="preserve">Costs</t>
  </si>
  <si>
    <t xml:space="preserve">3-pip spread on every trade plus extra slippage on stop exits.</t>
  </si>
  <si>
    <t xml:space="preserve">CAVEATS</t>
  </si>
  <si>
    <t xml:space="preserve">Rules changed after seeing 2022–2026</t>
  </si>
  <si>
    <t xml:space="preserve">The switch to close-based levels came from Solomon's own description, but it was made after viewing 2022–2026 results. That period is no longer an untouched test.</t>
  </si>
  <si>
    <t xml:space="preserve">Sensitive to stop size</t>
  </si>
  <si>
    <t xml:space="preserve">A 41-pip stop still works; a 68-pip stop turned 2022–2026 negative (see Versions &amp; Stops).</t>
  </si>
  <si>
    <t xml:space="preserve">Modest size of the edge</t>
  </si>
  <si>
    <t xml:space="preserve">About +2.7% a year at 0.5% risk. Scaling needs more markets or more risk, and both need their own testing.</t>
  </si>
  <si>
    <t xml:space="preserve">Missed trades</t>
  </si>
  <si>
    <t xml:space="preserve">The 3 Sep 2026 break-and-retest sell is still not taken. The 3 Aug 2026 rejection buy is taken (entry 211.55) but closed flat after the breakeven move.</t>
  </si>
  <si>
    <t xml:space="preserve">NEXT STEPS</t>
  </si>
  <si>
    <t xml:space="preserve">1. Forward test</t>
  </si>
  <si>
    <t xml:space="preserve">Run the rules automatically on the OANDA demo account for 2–3 months with no rule changes.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</si>
</sst>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"/>
    <numFmt numFmtId="166" formatCode="0.00%"/>
    <numFmt numFmtId="167" formatCode="0"/>
    <numFmt numFmtId="168" formatCode="0.0%"/>
    <numFmt numFmtId="169" formatCode="0.00"/>
    <numFmt numFmtId="170" formatCode="0.0"/>
    <numFmt numFmtId="171" formatCode="@"/>
    <numFmt numFmtId="172" formatCode="yyyy\-mm\-dd\ hh:mm"/>
    <numFmt numFmtId="173" formatCode="0.000"/>
    <numFmt numFmtId="174" formatCode="0.00;\-0.00;0.00"/>
    <numFmt numFmtId="175" formatCode="0.00%;\-0.00%;0.00%"/>
    <numFmt numFmtId="176" formatCode="0.0%;\-0.0%;0.0%"/>
    <numFmt numFmtId="177" formatCode="mmm\ yyyy"/>
    <numFmt numFmtId="178" formatCode="\+0.000;\-0.000;0.000"/>
    <numFmt numFmtId="179" formatCode="0.0;\-0.0;0.0"/>
    <numFmt numFmtId="180" formatCode="0.000;\-0.000;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4D"/>
        <bgColor rgb="FF003366"/>
      </patternFill>
    </fill>
    <fill>
      <patternFill patternType="solid">
        <fgColor rgb="FFEEF3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A"/>
      </left>
      <right style="thin">
        <color rgb="FFC9D3DA"/>
      </right>
      <top style="thin">
        <color rgb="FFC9D3DA"/>
      </top>
      <bottom style="thin">
        <color rgb="FFC9D3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6"/>
      <rgbColor rgb="FFCCFFFF"/>
      <rgbColor rgb="FF660066"/>
      <rgbColor rgb="FFFF8080"/>
      <rgbColor rgb="FF0066CC"/>
      <rgbColor rgb="FFC9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7" min="3" style="1" width="16"/>
    <col collapsed="false" customWidth="true" hidden="false" outlineLevel="0" max="8" min="8" style="1" width="3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n">
        <v>10000</v>
      </c>
      <c r="D5" s="3" t="s">
        <v>3</v>
      </c>
    </row>
    <row r="6" customFormat="false" ht="15" hidden="false" customHeight="true" outlineLevel="0" collapsed="false">
      <c r="B6" s="4" t="s">
        <v>4</v>
      </c>
      <c r="C6" s="6" t="n">
        <v>0.005</v>
      </c>
    </row>
    <row r="8" customFormat="false" ht="15" hidden="false" customHeight="true" outlineLevel="0" collapsed="false">
      <c r="B8" s="7" t="s">
        <v>5</v>
      </c>
    </row>
    <row r="9" customFormat="false" ht="15" hidden="false" customHeight="true" outlineLevel="0" collapsed="false">
      <c r="B9" s="8" t="s">
        <v>6</v>
      </c>
      <c r="C9" s="9" t="n">
        <f aca="false">COUNT(Trades!$O$2:$O$556)</f>
        <v>555</v>
      </c>
    </row>
    <row r="10" customFormat="false" ht="15" hidden="false" customHeight="true" outlineLevel="0" collapsed="false">
      <c r="B10" s="8" t="s">
        <v>7</v>
      </c>
      <c r="C10" s="10" t="n">
        <f aca="false">COUNTIF(Trades!$N$2:$N$556,"Target")/C9</f>
        <v>0.190990990990991</v>
      </c>
    </row>
    <row r="11" customFormat="false" ht="15" hidden="false" customHeight="true" outlineLevel="0" collapsed="false">
      <c r="B11" s="8" t="s">
        <v>8</v>
      </c>
      <c r="C11" s="11" t="n">
        <f aca="false">AVERAGE(Trades!$O$2:$O$556)</f>
        <v>0.210605405405405</v>
      </c>
    </row>
    <row r="12" customFormat="false" ht="15" hidden="false" customHeight="true" outlineLevel="0" collapsed="false">
      <c r="B12" s="8" t="s">
        <v>9</v>
      </c>
      <c r="C12" s="12" t="n">
        <f aca="false">SUM(Trades!$O$2:$O$556)</f>
        <v>116.886</v>
      </c>
    </row>
    <row r="13" customFormat="false" ht="15" hidden="false" customHeight="true" outlineLevel="0" collapsed="false">
      <c r="B13" s="8" t="s">
        <v>10</v>
      </c>
      <c r="C13" s="13" t="n">
        <f aca="false">INDEX(Trades!$Q$2:$Q$556,C9)</f>
        <v>17547.6744344543</v>
      </c>
    </row>
    <row r="14" customFormat="false" ht="15" hidden="false" customHeight="true" outlineLevel="0" collapsed="false">
      <c r="B14" s="8" t="s">
        <v>11</v>
      </c>
      <c r="C14" s="10" t="n">
        <f aca="false">C13/C5-1</f>
        <v>0.754767443445434</v>
      </c>
    </row>
    <row r="15" customFormat="false" ht="15" hidden="false" customHeight="true" outlineLevel="0" collapsed="false">
      <c r="B15" s="8" t="s">
        <v>12</v>
      </c>
      <c r="C15" s="14" t="n">
        <f aca="false">(C13/C5)^(1/((MAX(Trades!$F$2:$F$556)-MIN(Trades!$E$2:$E$556))/365.25))-1</f>
        <v>0.0267107965842108</v>
      </c>
    </row>
    <row r="16" customFormat="false" ht="15" hidden="false" customHeight="true" outlineLevel="0" collapsed="false">
      <c r="B16" s="8" t="s">
        <v>13</v>
      </c>
      <c r="C16" s="10" t="n">
        <f aca="false">MIN(Trades!$S$2:$S$556)</f>
        <v>-0.0919161612186077</v>
      </c>
    </row>
    <row r="17" customFormat="false" ht="15" hidden="false" customHeight="true" outlineLevel="0" collapsed="false">
      <c r="B17" s="8" t="s">
        <v>14</v>
      </c>
      <c r="C17" s="15" t="str">
        <f aca="false">COUNTIF('By Year'!$D$5:$D$26,"&gt;0")&amp;" of "&amp;COUNT('By Year'!$D$5:$D$26)</f>
        <v>16 of 22</v>
      </c>
    </row>
    <row r="18" customFormat="false" ht="15" hidden="false" customHeight="true" outlineLevel="0" collapsed="false">
      <c r="B18" s="8" t="s">
        <v>15</v>
      </c>
      <c r="C18" s="14" t="n">
        <f aca="false">MIN(Monthly!$C$5:$C$266)</f>
        <v>-0.0251175</v>
      </c>
    </row>
    <row r="19" customFormat="false" ht="15" hidden="false" customHeight="true" outlineLevel="0" collapsed="false">
      <c r="B19" s="8" t="s">
        <v>16</v>
      </c>
      <c r="C19" s="10" t="n">
        <f aca="false">COUNTIF(Monthly!$C$5:$C$266,"&gt;0")/COUNT(Monthly!$C$5:$C$266)</f>
        <v>0.403100775193798</v>
      </c>
    </row>
    <row r="21" customFormat="false" ht="15" hidden="false" customHeight="true" outlineLevel="0" collapsed="false">
      <c r="B21" s="7" t="s">
        <v>17</v>
      </c>
    </row>
    <row r="22" customFormat="false" ht="15" hidden="false" customHeight="true" outlineLevel="0" collapsed="false">
      <c r="B22" s="16" t="s">
        <v>18</v>
      </c>
      <c r="C22" s="16" t="s">
        <v>6</v>
      </c>
      <c r="D22" s="16" t="s">
        <v>7</v>
      </c>
      <c r="E22" s="16" t="s">
        <v>19</v>
      </c>
      <c r="F22" s="16" t="s">
        <v>20</v>
      </c>
    </row>
    <row r="23" customFormat="false" ht="15" hidden="false" customHeight="true" outlineLevel="0" collapsed="false">
      <c r="B23" s="17" t="s">
        <v>21</v>
      </c>
      <c r="C23" s="18" t="n">
        <f aca="false">COUNTIF(Trades!$H$2:$H$556,B23)</f>
        <v>242</v>
      </c>
      <c r="D23" s="19" t="n">
        <f aca="false">COUNTIFS(Trades!$H$2:$H$556,B23,Trades!$N$2:$N$556,"Target")/C23</f>
        <v>0.169421487603306</v>
      </c>
      <c r="E23" s="20" t="n">
        <f aca="false">AVERAGEIF(Trades!$H$2:$H$556,B23,Trades!$O$2:$O$556)</f>
        <v>0.122609917355372</v>
      </c>
      <c r="F23" s="21" t="n">
        <f aca="false">SUMIF(Trades!$H$2:$H$556,B23,Trades!$O$2:$O$556)</f>
        <v>29.6716</v>
      </c>
    </row>
    <row r="24" customFormat="false" ht="15" hidden="false" customHeight="true" outlineLevel="0" collapsed="false">
      <c r="B24" s="17" t="s">
        <v>22</v>
      </c>
      <c r="C24" s="18" t="n">
        <f aca="false">COUNTIF(Trades!$H$2:$H$556,B24)</f>
        <v>181</v>
      </c>
      <c r="D24" s="19" t="n">
        <f aca="false">COUNTIFS(Trades!$H$2:$H$556,B24,Trades!$N$2:$N$556,"Target")/C24</f>
        <v>0.215469613259669</v>
      </c>
      <c r="E24" s="20" t="n">
        <f aca="false">AVERAGEIF(Trades!$H$2:$H$556,B24,Trades!$O$2:$O$556)</f>
        <v>0.335472928176796</v>
      </c>
      <c r="F24" s="21" t="n">
        <f aca="false">SUMIF(Trades!$H$2:$H$556,B24,Trades!$O$2:$O$556)</f>
        <v>60.7206</v>
      </c>
    </row>
    <row r="25" customFormat="false" ht="15" hidden="false" customHeight="true" outlineLevel="0" collapsed="false">
      <c r="B25" s="17" t="s">
        <v>23</v>
      </c>
      <c r="C25" s="18" t="n">
        <f aca="false">COUNTIF(Trades!$H$2:$H$556,B25)</f>
        <v>132</v>
      </c>
      <c r="D25" s="19" t="n">
        <f aca="false">COUNTIFS(Trades!$H$2:$H$556,B25,Trades!$N$2:$N$556,"Target")/C25</f>
        <v>0.196969696969697</v>
      </c>
      <c r="E25" s="20" t="n">
        <f aca="false">AVERAGEIF(Trades!$H$2:$H$556,B25,Trades!$O$2:$O$556)</f>
        <v>0.200710606060606</v>
      </c>
      <c r="F25" s="21" t="n">
        <f aca="false">SUMIF(Trades!$H$2:$H$556,B25,Trades!$O$2:$O$556)</f>
        <v>26.4938</v>
      </c>
    </row>
    <row r="26" customFormat="false" ht="15" hidden="false" customHeight="true" outlineLevel="0" collapsed="false">
      <c r="B26" s="15" t="s">
        <v>24</v>
      </c>
      <c r="C26" s="9" t="n">
        <f aca="false">SUM(C23:C25)</f>
        <v>555</v>
      </c>
      <c r="D26" s="10" t="n">
        <f aca="false">COUNTIF(Trades!$N$2:$N$556,"Target")/C26</f>
        <v>0.190990990990991</v>
      </c>
      <c r="E26" s="11" t="n">
        <f aca="false">AVERAGE(Trades!$O$2:$O$556)</f>
        <v>0.210605405405405</v>
      </c>
      <c r="F26" s="12" t="n">
        <f aca="false">SUM(Trades!$O$2:$O$556)</f>
        <v>116.886</v>
      </c>
    </row>
    <row r="28" customFormat="false" ht="15" hidden="false" customHeight="true" outlineLevel="0" collapsed="false">
      <c r="B28" s="7" t="s">
        <v>25</v>
      </c>
    </row>
    <row r="29" customFormat="false" ht="15" hidden="false" customHeight="true" outlineLevel="0" collapsed="false">
      <c r="B29" s="16" t="s">
        <v>26</v>
      </c>
      <c r="C29" s="16" t="s">
        <v>6</v>
      </c>
      <c r="D29" s="16" t="s">
        <v>7</v>
      </c>
      <c r="E29" s="16" t="s">
        <v>19</v>
      </c>
      <c r="F29" s="16" t="s">
        <v>20</v>
      </c>
    </row>
    <row r="30" customFormat="false" ht="15" hidden="false" customHeight="true" outlineLevel="0" collapsed="false">
      <c r="B30" s="17" t="s">
        <v>27</v>
      </c>
      <c r="C30" s="18" t="n">
        <f aca="false">COUNTIF(Trades!$B$2:$B$556,B30)</f>
        <v>281</v>
      </c>
      <c r="D30" s="19" t="n">
        <f aca="false">COUNTIFS(Trades!$B$2:$B$556,B30,Trades!$N$2:$N$556,"Target")/C30</f>
        <v>0.227758007117438</v>
      </c>
      <c r="E30" s="20" t="n">
        <f aca="false">AVERAGEIF(Trades!$B$2:$B$556,B30,Trades!$O$2:$O$556)</f>
        <v>0.360680427046263</v>
      </c>
      <c r="F30" s="21" t="n">
        <f aca="false">SUMIF(Trades!$B$2:$B$556,B30,Trades!$O$2:$O$556)</f>
        <v>101.3512</v>
      </c>
    </row>
    <row r="31" customFormat="false" ht="15" hidden="false" customHeight="true" outlineLevel="0" collapsed="false">
      <c r="B31" s="17" t="s">
        <v>28</v>
      </c>
      <c r="C31" s="18" t="n">
        <f aca="false">COUNTIF(Trades!$B$2:$B$556,B31)</f>
        <v>274</v>
      </c>
      <c r="D31" s="19" t="n">
        <f aca="false">COUNTIFS(Trades!$B$2:$B$556,B31,Trades!$N$2:$N$556,"Target")/C31</f>
        <v>0.153284671532847</v>
      </c>
      <c r="E31" s="20" t="n">
        <f aca="false">AVERAGEIF(Trades!$B$2:$B$556,B31,Trades!$O$2:$O$556)</f>
        <v>0.0566963503649635</v>
      </c>
      <c r="F31" s="21" t="n">
        <f aca="false">SUMIF(Trades!$B$2:$B$556,B31,Trades!$O$2:$O$556)</f>
        <v>15.5348</v>
      </c>
    </row>
    <row r="33" customFormat="false" ht="15" hidden="false" customHeight="true" outlineLevel="0" collapsed="false">
      <c r="B33" s="7" t="s">
        <v>29</v>
      </c>
    </row>
    <row r="34" customFormat="false" ht="15" hidden="false" customHeight="true" outlineLevel="0" collapsed="false">
      <c r="B34" s="16" t="s">
        <v>30</v>
      </c>
      <c r="C34" s="16" t="s">
        <v>6</v>
      </c>
      <c r="D34" s="16" t="s">
        <v>31</v>
      </c>
      <c r="E34" s="16" t="s">
        <v>32</v>
      </c>
    </row>
    <row r="35" customFormat="false" ht="15" hidden="false" customHeight="true" outlineLevel="0" collapsed="false">
      <c r="B35" s="17" t="s">
        <v>33</v>
      </c>
      <c r="C35" s="18" t="n">
        <f aca="false">COUNTIF(Trades!$N$2:$N$556,B35)</f>
        <v>106</v>
      </c>
      <c r="D35" s="19" t="n">
        <f aca="false">C35/$C$9</f>
        <v>0.190990990990991</v>
      </c>
      <c r="E35" s="20" t="n">
        <f aca="false">IFERROR(AVERAGEIF(Trades!$N$2:$N$556,B35,Trades!$O$2:$O$556),0)</f>
        <v>3.67535377358491</v>
      </c>
    </row>
    <row r="36" customFormat="false" ht="15" hidden="false" customHeight="true" outlineLevel="0" collapsed="false">
      <c r="B36" s="17" t="s">
        <v>34</v>
      </c>
      <c r="C36" s="18" t="n">
        <f aca="false">COUNTIF(Trades!$N$2:$N$556,B36)</f>
        <v>271</v>
      </c>
      <c r="D36" s="19" t="n">
        <f aca="false">C36/$C$9</f>
        <v>0.488288288288288</v>
      </c>
      <c r="E36" s="20" t="n">
        <f aca="false">IFERROR(AVERAGEIF(Trades!$N$2:$N$556,B36,Trades!$O$2:$O$556),0)</f>
        <v>-1.01232472324723</v>
      </c>
    </row>
    <row r="37" customFormat="false" ht="15" hidden="false" customHeight="true" outlineLevel="0" collapsed="false">
      <c r="B37" s="17" t="s">
        <v>35</v>
      </c>
      <c r="C37" s="18" t="n">
        <f aca="false">COUNTIF(Trades!$N$2:$N$556,B37)</f>
        <v>178</v>
      </c>
      <c r="D37" s="19" t="n">
        <f aca="false">C37/$C$9</f>
        <v>0.320720720720721</v>
      </c>
      <c r="E37" s="20" t="n">
        <f aca="false">IFERROR(AVERAGEIF(Trades!$N$2:$N$556,B37,Trades!$O$2:$O$556),0)</f>
        <v>0.00920505617977528</v>
      </c>
    </row>
    <row r="38" customFormat="false" ht="15" hidden="false" customHeight="true" outlineLevel="0" collapsed="false">
      <c r="B38" s="17" t="s">
        <v>36</v>
      </c>
      <c r="C38" s="18" t="n">
        <f aca="false">COUNTIF(Trades!$N$2:$N$556,B38)</f>
        <v>0</v>
      </c>
      <c r="D38" s="19" t="n">
        <f aca="false">C38/$C$9</f>
        <v>0</v>
      </c>
      <c r="E38" s="20" t="n">
        <f aca="false">IFERROR(AVERAGEIF(Trades!$N$2:$N$556,B38,Trades!$O$2:$O$556),0)</f>
        <v>0</v>
      </c>
    </row>
    <row r="40" customFormat="false" ht="27.75" hidden="false" customHeight="true" outlineLevel="0" collapsed="false">
      <c r="B40" s="22" t="s">
        <v>37</v>
      </c>
      <c r="C40" s="22"/>
      <c r="D40" s="22"/>
      <c r="E40" s="22"/>
      <c r="F40" s="22"/>
      <c r="G40" s="22"/>
    </row>
  </sheetData>
  <mergeCells count="1">
    <mergeCell ref="B40:G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5"/>
    <col collapsed="false" customWidth="true" hidden="false" outlineLevel="0" max="3" min="3" style="1" width="7"/>
    <col collapsed="false" customWidth="true" hidden="false" outlineLevel="0" max="6" min="4" style="1" width="17"/>
    <col collapsed="false" customWidth="true" hidden="false" outlineLevel="0" max="7" min="7" style="1" width="7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3" min="10" style="1" width="10"/>
    <col collapsed="false" customWidth="true" hidden="false" outlineLevel="0" max="14" min="14" style="1" width="11"/>
    <col collapsed="false" customWidth="true" hidden="false" outlineLevel="0" max="15" min="15" style="1" width="10"/>
    <col collapsed="false" customWidth="true" hidden="false" outlineLevel="0" max="18" min="16" style="1" width="11"/>
    <col collapsed="false" customWidth="true" hidden="false" outlineLevel="0" max="20" min="19" style="1" width="10"/>
  </cols>
  <sheetData>
    <row r="1" customFormat="false" ht="23.25" hidden="false" customHeight="true" outlineLevel="0" collapsed="false">
      <c r="A1" s="16" t="s">
        <v>38</v>
      </c>
      <c r="B1" s="16" t="s">
        <v>26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18</v>
      </c>
      <c r="I1" s="16" t="s">
        <v>44</v>
      </c>
      <c r="J1" s="16" t="s">
        <v>34</v>
      </c>
      <c r="K1" s="16" t="s">
        <v>33</v>
      </c>
      <c r="L1" s="16" t="s">
        <v>45</v>
      </c>
      <c r="M1" s="16" t="s">
        <v>46</v>
      </c>
      <c r="N1" s="16" t="s">
        <v>30</v>
      </c>
      <c r="O1" s="16" t="s">
        <v>47</v>
      </c>
      <c r="P1" s="16" t="s">
        <v>48</v>
      </c>
      <c r="Q1" s="16" t="s">
        <v>49</v>
      </c>
      <c r="R1" s="16" t="s">
        <v>50</v>
      </c>
      <c r="S1" s="16" t="s">
        <v>51</v>
      </c>
      <c r="T1" s="16" t="s">
        <v>52</v>
      </c>
    </row>
    <row r="2" customFormat="false" ht="15" hidden="false" customHeight="true" outlineLevel="0" collapsed="false">
      <c r="A2" s="4" t="n">
        <v>1</v>
      </c>
      <c r="B2" s="4" t="s">
        <v>27</v>
      </c>
      <c r="C2" s="4" t="s">
        <v>53</v>
      </c>
      <c r="D2" s="23" t="n">
        <v>38496.9166666667</v>
      </c>
      <c r="E2" s="23" t="n">
        <v>38497.2604166667</v>
      </c>
      <c r="F2" s="23" t="n">
        <v>38498.6354166667</v>
      </c>
      <c r="G2" s="4" t="n">
        <f aca="false">YEAR(E2)</f>
        <v>2005</v>
      </c>
      <c r="H2" s="4" t="str">
        <f aca="false">IF(E2&lt;DATE(2015,1,1),"2005–2014",IF(E2&lt;DATE(2022,3,5),"2015 – Mar 2022","Mar 2022 – Oct 2026"))</f>
        <v>2005–2014</v>
      </c>
      <c r="I2" s="24" t="n">
        <v>196.555</v>
      </c>
      <c r="J2" s="24" t="n">
        <v>196.035</v>
      </c>
      <c r="K2" s="24" t="n">
        <v>198.572</v>
      </c>
      <c r="L2" s="25" t="n">
        <v>3.88</v>
      </c>
      <c r="M2" s="26" t="n">
        <v>51.98</v>
      </c>
      <c r="N2" s="4" t="s">
        <v>35</v>
      </c>
      <c r="O2" s="27" t="n">
        <v>0.0433</v>
      </c>
      <c r="P2" s="28" t="n">
        <f aca="false">Summary!$C$6*O2</f>
        <v>0.0002165</v>
      </c>
      <c r="Q2" s="29" t="n">
        <f aca="false">Summary!$C$5*(1+P2)</f>
        <v>10002.165</v>
      </c>
      <c r="R2" s="29" t="n">
        <f aca="false">MAX(Summary!$C$5,Q2)</f>
        <v>10002.165</v>
      </c>
      <c r="S2" s="30" t="n">
        <f aca="false">Q2/R2-1</f>
        <v>0</v>
      </c>
      <c r="T2" s="31" t="n">
        <f aca="false">DATE(YEAR(F2),MONTH(F2),1)</f>
        <v>38473</v>
      </c>
    </row>
    <row r="3" customFormat="false" ht="15" hidden="false" customHeight="true" outlineLevel="0" collapsed="false">
      <c r="A3" s="4" t="n">
        <v>2</v>
      </c>
      <c r="B3" s="4" t="s">
        <v>28</v>
      </c>
      <c r="C3" s="4" t="s">
        <v>54</v>
      </c>
      <c r="D3" s="23" t="n">
        <v>38498.9166666667</v>
      </c>
      <c r="E3" s="23" t="n">
        <v>38499.09375</v>
      </c>
      <c r="F3" s="23" t="n">
        <v>38503.46875</v>
      </c>
      <c r="G3" s="4" t="n">
        <f aca="false">YEAR(E3)</f>
        <v>2005</v>
      </c>
      <c r="H3" s="4" t="str">
        <f aca="false">IF(E3&lt;DATE(2015,1,1),"2005–2014",IF(E3&lt;DATE(2022,3,5),"2015 – Mar 2022","Mar 2022 – Oct 2026"))</f>
        <v>2005–2014</v>
      </c>
      <c r="I3" s="24" t="n">
        <v>196.915</v>
      </c>
      <c r="J3" s="24" t="n">
        <v>197.439</v>
      </c>
      <c r="K3" s="24" t="n">
        <v>194.803</v>
      </c>
      <c r="L3" s="25" t="n">
        <v>4.028</v>
      </c>
      <c r="M3" s="26" t="n">
        <v>52.425</v>
      </c>
      <c r="N3" s="4" t="s">
        <v>35</v>
      </c>
      <c r="O3" s="27" t="n">
        <v>0.0429</v>
      </c>
      <c r="P3" s="28" t="n">
        <f aca="false">Summary!$C$6*O3</f>
        <v>0.0002145</v>
      </c>
      <c r="Q3" s="29" t="n">
        <f aca="false">Q2*(1+P3)</f>
        <v>10004.3104643925</v>
      </c>
      <c r="R3" s="29" t="n">
        <f aca="false">MAX(R2,Q3)</f>
        <v>10004.3104643925</v>
      </c>
      <c r="S3" s="30" t="n">
        <f aca="false">Q3/R3-1</f>
        <v>0</v>
      </c>
      <c r="T3" s="31" t="n">
        <f aca="false">DATE(YEAR(F3),MONTH(F3),1)</f>
        <v>38473</v>
      </c>
    </row>
    <row r="4" customFormat="false" ht="15" hidden="false" customHeight="true" outlineLevel="0" collapsed="false">
      <c r="A4" s="4" t="n">
        <v>3</v>
      </c>
      <c r="B4" s="4" t="s">
        <v>27</v>
      </c>
      <c r="C4" s="4" t="s">
        <v>53</v>
      </c>
      <c r="D4" s="23" t="n">
        <v>38503.9166666667</v>
      </c>
      <c r="E4" s="23" t="n">
        <v>38504.0520833333</v>
      </c>
      <c r="F4" s="23" t="n">
        <v>38504.59375</v>
      </c>
      <c r="G4" s="4" t="n">
        <f aca="false">YEAR(E4)</f>
        <v>2005</v>
      </c>
      <c r="H4" s="4" t="str">
        <f aca="false">IF(E4&lt;DATE(2015,1,1),"2005–2014",IF(E4&lt;DATE(2022,3,5),"2015 – Mar 2022","Mar 2022 – Oct 2026"))</f>
        <v>2005–2014</v>
      </c>
      <c r="I4" s="24" t="n">
        <v>196.985</v>
      </c>
      <c r="J4" s="24" t="n">
        <v>196.481</v>
      </c>
      <c r="K4" s="24" t="n">
        <v>198.574</v>
      </c>
      <c r="L4" s="25" t="n">
        <v>3.155</v>
      </c>
      <c r="M4" s="26" t="n">
        <v>50.352</v>
      </c>
      <c r="N4" s="4" t="s">
        <v>34</v>
      </c>
      <c r="O4" s="27" t="n">
        <v>-1.0149</v>
      </c>
      <c r="P4" s="28" t="n">
        <f aca="false">Summary!$C$6*O4</f>
        <v>-0.0050745</v>
      </c>
      <c r="Q4" s="29" t="n">
        <f aca="false">Q3*(1+P4)</f>
        <v>9953.54359094094</v>
      </c>
      <c r="R4" s="29" t="n">
        <f aca="false">MAX(R3,Q4)</f>
        <v>10004.3104643925</v>
      </c>
      <c r="S4" s="30" t="n">
        <f aca="false">Q4/R4-1</f>
        <v>-0.00507449999999998</v>
      </c>
      <c r="T4" s="31" t="n">
        <f aca="false">DATE(YEAR(F4),MONTH(F4),1)</f>
        <v>38504</v>
      </c>
    </row>
    <row r="5" customFormat="false" ht="15" hidden="false" customHeight="true" outlineLevel="0" collapsed="false">
      <c r="A5" s="4" t="n">
        <v>4</v>
      </c>
      <c r="B5" s="4" t="s">
        <v>27</v>
      </c>
      <c r="C5" s="4" t="s">
        <v>53</v>
      </c>
      <c r="D5" s="23" t="n">
        <v>38504.9166666667</v>
      </c>
      <c r="E5" s="23" t="n">
        <v>38505.0416666667</v>
      </c>
      <c r="F5" s="23" t="n">
        <v>38506.0208333333</v>
      </c>
      <c r="G5" s="4" t="n">
        <f aca="false">YEAR(E5)</f>
        <v>2005</v>
      </c>
      <c r="H5" s="4" t="str">
        <f aca="false">IF(E5&lt;DATE(2015,1,1),"2005–2014",IF(E5&lt;DATE(2022,3,5),"2015 – Mar 2022","Mar 2022 – Oct 2026"))</f>
        <v>2005–2014</v>
      </c>
      <c r="I5" s="24" t="n">
        <v>196.805</v>
      </c>
      <c r="J5" s="24" t="n">
        <v>196.303</v>
      </c>
      <c r="K5" s="24" t="n">
        <v>198.574</v>
      </c>
      <c r="L5" s="25" t="n">
        <v>3.526</v>
      </c>
      <c r="M5" s="26" t="n">
        <v>50.167</v>
      </c>
      <c r="N5" s="4" t="s">
        <v>34</v>
      </c>
      <c r="O5" s="27" t="n">
        <v>-1.015</v>
      </c>
      <c r="P5" s="28" t="n">
        <f aca="false">Summary!$C$6*O5</f>
        <v>-0.005075</v>
      </c>
      <c r="Q5" s="29" t="n">
        <f aca="false">Q4*(1+P5)</f>
        <v>9903.02935721692</v>
      </c>
      <c r="R5" s="29" t="n">
        <f aca="false">MAX(R4,Q5)</f>
        <v>10004.3104643925</v>
      </c>
      <c r="S5" s="30" t="n">
        <f aca="false">Q5/R5-1</f>
        <v>-0.0101237469125</v>
      </c>
      <c r="T5" s="31" t="n">
        <f aca="false">DATE(YEAR(F5),MONTH(F5),1)</f>
        <v>38504</v>
      </c>
    </row>
    <row r="6" customFormat="false" ht="15" hidden="false" customHeight="true" outlineLevel="0" collapsed="false">
      <c r="A6" s="4" t="n">
        <v>5</v>
      </c>
      <c r="B6" s="4" t="s">
        <v>28</v>
      </c>
      <c r="C6" s="4" t="s">
        <v>54</v>
      </c>
      <c r="D6" s="23" t="n">
        <v>38524.9166666667</v>
      </c>
      <c r="E6" s="23" t="n">
        <v>38527.3958333333</v>
      </c>
      <c r="F6" s="23" t="n">
        <v>38530.0520833333</v>
      </c>
      <c r="G6" s="4" t="n">
        <f aca="false">YEAR(E6)</f>
        <v>2005</v>
      </c>
      <c r="H6" s="4" t="str">
        <f aca="false">IF(E6&lt;DATE(2015,1,1),"2005–2014",IF(E6&lt;DATE(2022,3,5),"2015 – Mar 2022","Mar 2022 – Oct 2026"))</f>
        <v>2005–2014</v>
      </c>
      <c r="I6" s="24" t="n">
        <v>198.912</v>
      </c>
      <c r="J6" s="24" t="n">
        <v>199.44</v>
      </c>
      <c r="K6" s="24" t="n">
        <v>197.242</v>
      </c>
      <c r="L6" s="25" t="n">
        <v>3.165</v>
      </c>
      <c r="M6" s="26" t="n">
        <v>52.752</v>
      </c>
      <c r="N6" s="4" t="s">
        <v>34</v>
      </c>
      <c r="O6" s="27" t="n">
        <v>-1.0142</v>
      </c>
      <c r="P6" s="28" t="n">
        <f aca="false">Summary!$C$6*O6</f>
        <v>-0.005071</v>
      </c>
      <c r="Q6" s="29" t="n">
        <f aca="false">Q5*(1+P6)</f>
        <v>9852.81109534647</v>
      </c>
      <c r="R6" s="29" t="n">
        <f aca="false">MAX(R5,Q6)</f>
        <v>10004.3104643925</v>
      </c>
      <c r="S6" s="30" t="n">
        <f aca="false">Q6/R6-1</f>
        <v>-0.0151434093919067</v>
      </c>
      <c r="T6" s="31" t="n">
        <f aca="false">DATE(YEAR(F6),MONTH(F6),1)</f>
        <v>38504</v>
      </c>
    </row>
    <row r="7" customFormat="false" ht="15" hidden="false" customHeight="true" outlineLevel="0" collapsed="false">
      <c r="A7" s="4" t="n">
        <v>6</v>
      </c>
      <c r="B7" s="4" t="s">
        <v>28</v>
      </c>
      <c r="C7" s="4" t="s">
        <v>53</v>
      </c>
      <c r="D7" s="23" t="n">
        <v>38530.9166666667</v>
      </c>
      <c r="E7" s="23" t="n">
        <v>38532.53125</v>
      </c>
      <c r="F7" s="23" t="n">
        <v>38533.375</v>
      </c>
      <c r="G7" s="4" t="n">
        <f aca="false">YEAR(E7)</f>
        <v>2005</v>
      </c>
      <c r="H7" s="4" t="str">
        <f aca="false">IF(E7&lt;DATE(2015,1,1),"2005–2014",IF(E7&lt;DATE(2022,3,5),"2015 – Mar 2022","Mar 2022 – Oct 2026"))</f>
        <v>2005–2014</v>
      </c>
      <c r="I7" s="24" t="n">
        <v>199.252</v>
      </c>
      <c r="J7" s="24" t="n">
        <v>198.732</v>
      </c>
      <c r="K7" s="24" t="n">
        <v>201.232</v>
      </c>
      <c r="L7" s="25" t="n">
        <v>3.807</v>
      </c>
      <c r="M7" s="26" t="n">
        <v>52.001</v>
      </c>
      <c r="N7" s="4" t="s">
        <v>34</v>
      </c>
      <c r="O7" s="27" t="n">
        <v>-1.0144</v>
      </c>
      <c r="P7" s="28" t="n">
        <f aca="false">Summary!$C$6*O7</f>
        <v>-0.005072</v>
      </c>
      <c r="Q7" s="29" t="n">
        <f aca="false">Q6*(1+P7)</f>
        <v>9802.83763747087</v>
      </c>
      <c r="R7" s="29" t="n">
        <f aca="false">MAX(R6,Q7)</f>
        <v>10004.3104643925</v>
      </c>
      <c r="S7" s="30" t="n">
        <f aca="false">Q7/R7-1</f>
        <v>-0.0201386020194708</v>
      </c>
      <c r="T7" s="31" t="n">
        <f aca="false">DATE(YEAR(F7),MONTH(F7),1)</f>
        <v>38504</v>
      </c>
    </row>
    <row r="8" customFormat="false" ht="15" hidden="false" customHeight="true" outlineLevel="0" collapsed="false">
      <c r="A8" s="4" t="n">
        <v>7</v>
      </c>
      <c r="B8" s="4" t="s">
        <v>27</v>
      </c>
      <c r="C8" s="4" t="s">
        <v>54</v>
      </c>
      <c r="D8" s="23" t="n">
        <v>38538.9166666667</v>
      </c>
      <c r="E8" s="23" t="n">
        <v>38539.40625</v>
      </c>
      <c r="F8" s="23" t="n">
        <v>38539.625</v>
      </c>
      <c r="G8" s="4" t="n">
        <f aca="false">YEAR(E8)</f>
        <v>2005</v>
      </c>
      <c r="H8" s="4" t="str">
        <f aca="false">IF(E8&lt;DATE(2015,1,1),"2005–2014",IF(E8&lt;DATE(2022,3,5),"2015 – Mar 2022","Mar 2022 – Oct 2026"))</f>
        <v>2005–2014</v>
      </c>
      <c r="I8" s="24" t="n">
        <v>196.07</v>
      </c>
      <c r="J8" s="24" t="n">
        <v>196.611</v>
      </c>
      <c r="K8" s="24" t="n">
        <v>193.669</v>
      </c>
      <c r="L8" s="25" t="n">
        <v>4.434</v>
      </c>
      <c r="M8" s="26" t="n">
        <v>54.144</v>
      </c>
      <c r="N8" s="4" t="s">
        <v>34</v>
      </c>
      <c r="O8" s="27" t="n">
        <v>-1.0139</v>
      </c>
      <c r="P8" s="28" t="n">
        <f aca="false">Summary!$C$6*O8</f>
        <v>-0.0050695</v>
      </c>
      <c r="Q8" s="29" t="n">
        <f aca="false">Q7*(1+P8)</f>
        <v>9753.14215206772</v>
      </c>
      <c r="R8" s="29" t="n">
        <f aca="false">MAX(R7,Q8)</f>
        <v>10004.3104643925</v>
      </c>
      <c r="S8" s="30" t="n">
        <f aca="false">Q8/R8-1</f>
        <v>-0.0251060093765331</v>
      </c>
      <c r="T8" s="31" t="n">
        <f aca="false">DATE(YEAR(F8),MONTH(F8),1)</f>
        <v>38534</v>
      </c>
    </row>
    <row r="9" customFormat="false" ht="15" hidden="false" customHeight="true" outlineLevel="0" collapsed="false">
      <c r="A9" s="4" t="n">
        <v>8</v>
      </c>
      <c r="B9" s="4" t="s">
        <v>27</v>
      </c>
      <c r="C9" s="4" t="s">
        <v>54</v>
      </c>
      <c r="D9" s="23" t="n">
        <v>38539.9166666667</v>
      </c>
      <c r="E9" s="23" t="n">
        <v>38540.125</v>
      </c>
      <c r="F9" s="23" t="n">
        <v>38540.3854166667</v>
      </c>
      <c r="G9" s="4" t="n">
        <f aca="false">YEAR(E9)</f>
        <v>2005</v>
      </c>
      <c r="H9" s="4" t="str">
        <f aca="false">IF(E9&lt;DATE(2015,1,1),"2005–2014",IF(E9&lt;DATE(2022,3,5),"2015 – Mar 2022","Mar 2022 – Oct 2026"))</f>
        <v>2005–2014</v>
      </c>
      <c r="I9" s="24" t="n">
        <v>196.526</v>
      </c>
      <c r="J9" s="24" t="n">
        <v>197.071</v>
      </c>
      <c r="K9" s="24" t="n">
        <v>194.805</v>
      </c>
      <c r="L9" s="25" t="n">
        <v>3.158</v>
      </c>
      <c r="M9" s="26" t="n">
        <v>54.479</v>
      </c>
      <c r="N9" s="4" t="s">
        <v>33</v>
      </c>
      <c r="O9" s="27" t="n">
        <v>3.1582</v>
      </c>
      <c r="P9" s="28" t="n">
        <f aca="false">Summary!$C$6*O9</f>
        <v>0.015791</v>
      </c>
      <c r="Q9" s="29" t="n">
        <f aca="false">Q8*(1+P9)</f>
        <v>9907.15401979102</v>
      </c>
      <c r="R9" s="29" t="n">
        <f aca="false">MAX(R8,Q9)</f>
        <v>10004.3104643925</v>
      </c>
      <c r="S9" s="30" t="n">
        <f aca="false">Q9/R9-1</f>
        <v>-0.00971145837059784</v>
      </c>
      <c r="T9" s="31" t="n">
        <f aca="false">DATE(YEAR(F9),MONTH(F9),1)</f>
        <v>38534</v>
      </c>
    </row>
    <row r="10" customFormat="false" ht="15" hidden="false" customHeight="true" outlineLevel="0" collapsed="false">
      <c r="A10" s="4" t="n">
        <v>9</v>
      </c>
      <c r="B10" s="4" t="s">
        <v>27</v>
      </c>
      <c r="C10" s="4" t="s">
        <v>53</v>
      </c>
      <c r="D10" s="23" t="n">
        <v>38547.9166666667</v>
      </c>
      <c r="E10" s="23" t="n">
        <v>38548.2708333333</v>
      </c>
      <c r="F10" s="23" t="n">
        <v>38548.5625</v>
      </c>
      <c r="G10" s="4" t="n">
        <f aca="false">YEAR(E10)</f>
        <v>2005</v>
      </c>
      <c r="H10" s="4" t="str">
        <f aca="false">IF(E10&lt;DATE(2015,1,1),"2005–2014",IF(E10&lt;DATE(2022,3,5),"2015 – Mar 2022","Mar 2022 – Oct 2026"))</f>
        <v>2005–2014</v>
      </c>
      <c r="I10" s="24" t="n">
        <v>197.22</v>
      </c>
      <c r="J10" s="24" t="n">
        <v>196.656</v>
      </c>
      <c r="K10" s="24" t="n">
        <v>199.183</v>
      </c>
      <c r="L10" s="25" t="n">
        <v>3.479</v>
      </c>
      <c r="M10" s="26" t="n">
        <v>56.432</v>
      </c>
      <c r="N10" s="4" t="s">
        <v>34</v>
      </c>
      <c r="O10" s="27" t="n">
        <v>-1.0133</v>
      </c>
      <c r="P10" s="28" t="n">
        <f aca="false">Summary!$C$6*O10</f>
        <v>-0.0050665</v>
      </c>
      <c r="Q10" s="29" t="n">
        <f aca="false">Q9*(1+P10)</f>
        <v>9856.95942394975</v>
      </c>
      <c r="R10" s="29" t="n">
        <f aca="false">MAX(R9,Q10)</f>
        <v>10004.3104643925</v>
      </c>
      <c r="S10" s="30" t="n">
        <f aca="false">Q10/R10-1</f>
        <v>-0.0147287552667631</v>
      </c>
      <c r="T10" s="31" t="n">
        <f aca="false">DATE(YEAR(F10),MONTH(F10),1)</f>
        <v>38534</v>
      </c>
    </row>
    <row r="11" customFormat="false" ht="15" hidden="false" customHeight="true" outlineLevel="0" collapsed="false">
      <c r="A11" s="4" t="n">
        <v>10</v>
      </c>
      <c r="B11" s="4" t="s">
        <v>28</v>
      </c>
      <c r="C11" s="4" t="s">
        <v>54</v>
      </c>
      <c r="D11" s="23" t="n">
        <v>38566.9166666667</v>
      </c>
      <c r="E11" s="23" t="n">
        <v>38567.3645833333</v>
      </c>
      <c r="F11" s="23" t="n">
        <v>38568.40625</v>
      </c>
      <c r="G11" s="4" t="n">
        <f aca="false">YEAR(E11)</f>
        <v>2005</v>
      </c>
      <c r="H11" s="4" t="str">
        <f aca="false">IF(E11&lt;DATE(2015,1,1),"2005–2014",IF(E11&lt;DATE(2022,3,5),"2015 – Mar 2022","Mar 2022 – Oct 2026"))</f>
        <v>2005–2014</v>
      </c>
      <c r="I11" s="24" t="n">
        <v>197.984</v>
      </c>
      <c r="J11" s="24" t="n">
        <v>198.615</v>
      </c>
      <c r="K11" s="24" t="n">
        <v>195.057</v>
      </c>
      <c r="L11" s="25" t="n">
        <v>4.635</v>
      </c>
      <c r="M11" s="26" t="n">
        <v>63.145</v>
      </c>
      <c r="N11" s="4" t="s">
        <v>35</v>
      </c>
      <c r="O11" s="27" t="n">
        <v>0.0356</v>
      </c>
      <c r="P11" s="28" t="n">
        <f aca="false">Summary!$C$6*O11</f>
        <v>0.000178</v>
      </c>
      <c r="Q11" s="29" t="n">
        <f aca="false">Q10*(1+P11)</f>
        <v>9858.71396272721</v>
      </c>
      <c r="R11" s="29" t="n">
        <f aca="false">MAX(R10,Q11)</f>
        <v>10004.3104643925</v>
      </c>
      <c r="S11" s="30" t="n">
        <f aca="false">Q11/R11-1</f>
        <v>-0.0145533769852007</v>
      </c>
      <c r="T11" s="31" t="n">
        <f aca="false">DATE(YEAR(F11),MONTH(F11),1)</f>
        <v>38565</v>
      </c>
    </row>
    <row r="12" customFormat="false" ht="15" hidden="false" customHeight="true" outlineLevel="0" collapsed="false">
      <c r="A12" s="4" t="n">
        <v>11</v>
      </c>
      <c r="B12" s="4" t="s">
        <v>28</v>
      </c>
      <c r="C12" s="4" t="s">
        <v>54</v>
      </c>
      <c r="D12" s="23" t="n">
        <v>38579.9166666667</v>
      </c>
      <c r="E12" s="23" t="n">
        <v>38582.0520833333</v>
      </c>
      <c r="F12" s="23" t="n">
        <v>38586.40625</v>
      </c>
      <c r="G12" s="4" t="n">
        <f aca="false">YEAR(E12)</f>
        <v>2005</v>
      </c>
      <c r="H12" s="4" t="str">
        <f aca="false">IF(E12&lt;DATE(2015,1,1),"2005–2014",IF(E12&lt;DATE(2022,3,5),"2015 – Mar 2022","Mar 2022 – Oct 2026"))</f>
        <v>2005–2014</v>
      </c>
      <c r="I12" s="24" t="n">
        <v>198.865</v>
      </c>
      <c r="J12" s="24" t="n">
        <v>199.432</v>
      </c>
      <c r="K12" s="24" t="n">
        <v>196.999</v>
      </c>
      <c r="L12" s="25" t="n">
        <v>3.296</v>
      </c>
      <c r="M12" s="26" t="n">
        <v>56.621</v>
      </c>
      <c r="N12" s="4" t="s">
        <v>33</v>
      </c>
      <c r="O12" s="27" t="n">
        <v>3.2963</v>
      </c>
      <c r="P12" s="28" t="n">
        <f aca="false">Summary!$C$6*O12</f>
        <v>0.0164815</v>
      </c>
      <c r="Q12" s="29" t="n">
        <f aca="false">Q11*(1+P12)</f>
        <v>10021.2003569039</v>
      </c>
      <c r="R12" s="29" t="n">
        <f aca="false">MAX(R11,Q12)</f>
        <v>10021.2003569039</v>
      </c>
      <c r="S12" s="30" t="n">
        <f aca="false">Q12/R12-1</f>
        <v>0</v>
      </c>
      <c r="T12" s="31" t="n">
        <f aca="false">DATE(YEAR(F12),MONTH(F12),1)</f>
        <v>38565</v>
      </c>
    </row>
    <row r="13" customFormat="false" ht="15" hidden="false" customHeight="true" outlineLevel="0" collapsed="false">
      <c r="A13" s="4" t="n">
        <v>12</v>
      </c>
      <c r="B13" s="4" t="s">
        <v>27</v>
      </c>
      <c r="C13" s="4" t="s">
        <v>53</v>
      </c>
      <c r="D13" s="23" t="n">
        <v>38586.9166666667</v>
      </c>
      <c r="E13" s="23" t="n">
        <v>38587.0208333333</v>
      </c>
      <c r="F13" s="23" t="n">
        <v>38590.34375</v>
      </c>
      <c r="G13" s="4" t="n">
        <f aca="false">YEAR(E13)</f>
        <v>2005</v>
      </c>
      <c r="H13" s="4" t="str">
        <f aca="false">IF(E13&lt;DATE(2015,1,1),"2005–2014",IF(E13&lt;DATE(2022,3,5),"2015 – Mar 2022","Mar 2022 – Oct 2026"))</f>
        <v>2005–2014</v>
      </c>
      <c r="I13" s="24" t="n">
        <v>197.636</v>
      </c>
      <c r="J13" s="24" t="n">
        <v>197.088</v>
      </c>
      <c r="K13" s="24" t="n">
        <v>199.489</v>
      </c>
      <c r="L13" s="25" t="n">
        <v>3.385</v>
      </c>
      <c r="M13" s="26" t="n">
        <v>54.755</v>
      </c>
      <c r="N13" s="4" t="s">
        <v>35</v>
      </c>
      <c r="O13" s="27" t="n">
        <v>0.0411</v>
      </c>
      <c r="P13" s="28" t="n">
        <f aca="false">Summary!$C$6*O13</f>
        <v>0.0002055</v>
      </c>
      <c r="Q13" s="29" t="n">
        <f aca="false">Q12*(1+P13)</f>
        <v>10023.2597135772</v>
      </c>
      <c r="R13" s="29" t="n">
        <f aca="false">MAX(R12,Q13)</f>
        <v>10023.2597135772</v>
      </c>
      <c r="S13" s="30" t="n">
        <f aca="false">Q13/R13-1</f>
        <v>0</v>
      </c>
      <c r="T13" s="31" t="n">
        <f aca="false">DATE(YEAR(F13),MONTH(F13),1)</f>
        <v>38565</v>
      </c>
    </row>
    <row r="14" customFormat="false" ht="15" hidden="false" customHeight="true" outlineLevel="0" collapsed="false">
      <c r="A14" s="4" t="n">
        <v>13</v>
      </c>
      <c r="B14" s="4" t="s">
        <v>27</v>
      </c>
      <c r="C14" s="4" t="s">
        <v>54</v>
      </c>
      <c r="D14" s="23" t="n">
        <v>38594.9166666667</v>
      </c>
      <c r="E14" s="23" t="n">
        <v>38595.1458333333</v>
      </c>
      <c r="F14" s="23" t="n">
        <v>38595.40625</v>
      </c>
      <c r="G14" s="4" t="n">
        <f aca="false">YEAR(E14)</f>
        <v>2005</v>
      </c>
      <c r="H14" s="4" t="str">
        <f aca="false">IF(E14&lt;DATE(2015,1,1),"2005–2014",IF(E14&lt;DATE(2022,3,5),"2015 – Mar 2022","Mar 2022 – Oct 2026"))</f>
        <v>2005–2014</v>
      </c>
      <c r="I14" s="24" t="n">
        <v>198.766</v>
      </c>
      <c r="J14" s="24" t="n">
        <v>199.259</v>
      </c>
      <c r="K14" s="24" t="n">
        <v>197.238</v>
      </c>
      <c r="L14" s="25" t="n">
        <v>3.102</v>
      </c>
      <c r="M14" s="26" t="n">
        <v>49.26</v>
      </c>
      <c r="N14" s="4" t="s">
        <v>34</v>
      </c>
      <c r="O14" s="27" t="n">
        <v>-1.0152</v>
      </c>
      <c r="P14" s="28" t="n">
        <f aca="false">Summary!$C$6*O14</f>
        <v>-0.005076</v>
      </c>
      <c r="Q14" s="29" t="n">
        <f aca="false">Q13*(1+P14)</f>
        <v>9972.38164727113</v>
      </c>
      <c r="R14" s="29" t="n">
        <f aca="false">MAX(R13,Q14)</f>
        <v>10023.2597135772</v>
      </c>
      <c r="S14" s="30" t="n">
        <f aca="false">Q14/R14-1</f>
        <v>-0.00507599999999986</v>
      </c>
      <c r="T14" s="31" t="n">
        <f aca="false">DATE(YEAR(F14),MONTH(F14),1)</f>
        <v>38565</v>
      </c>
    </row>
    <row r="15" customFormat="false" ht="15" hidden="false" customHeight="true" outlineLevel="0" collapsed="false">
      <c r="A15" s="4" t="n">
        <v>14</v>
      </c>
      <c r="B15" s="4" t="s">
        <v>27</v>
      </c>
      <c r="C15" s="4" t="s">
        <v>54</v>
      </c>
      <c r="D15" s="23" t="n">
        <v>38602.9166666667</v>
      </c>
      <c r="E15" s="23" t="n">
        <v>38603.46875</v>
      </c>
      <c r="F15" s="23" t="n">
        <v>38603.5416666667</v>
      </c>
      <c r="G15" s="4" t="n">
        <f aca="false">YEAR(E15)</f>
        <v>2005</v>
      </c>
      <c r="H15" s="4" t="str">
        <f aca="false">IF(E15&lt;DATE(2015,1,1),"2005–2014",IF(E15&lt;DATE(2022,3,5),"2015 – Mar 2022","Mar 2022 – Oct 2026"))</f>
        <v>2005–2014</v>
      </c>
      <c r="I15" s="24" t="n">
        <v>202.815</v>
      </c>
      <c r="J15" s="24" t="n">
        <v>203.357</v>
      </c>
      <c r="K15" s="24" t="n">
        <v>200.551</v>
      </c>
      <c r="L15" s="25" t="n">
        <v>4.177</v>
      </c>
      <c r="M15" s="26" t="n">
        <v>54.197</v>
      </c>
      <c r="N15" s="4" t="s">
        <v>34</v>
      </c>
      <c r="O15" s="27" t="n">
        <v>-1.0138</v>
      </c>
      <c r="P15" s="28" t="n">
        <f aca="false">Summary!$C$6*O15</f>
        <v>-0.005069</v>
      </c>
      <c r="Q15" s="29" t="n">
        <f aca="false">Q14*(1+P15)</f>
        <v>9921.83164470111</v>
      </c>
      <c r="R15" s="29" t="n">
        <f aca="false">MAX(R14,Q15)</f>
        <v>10023.2597135772</v>
      </c>
      <c r="S15" s="30" t="n">
        <f aca="false">Q15/R15-1</f>
        <v>-0.0101192697559999</v>
      </c>
      <c r="T15" s="31" t="n">
        <f aca="false">DATE(YEAR(F15),MONTH(F15),1)</f>
        <v>38596</v>
      </c>
    </row>
    <row r="16" customFormat="false" ht="15" hidden="false" customHeight="true" outlineLevel="0" collapsed="false">
      <c r="A16" s="4" t="n">
        <v>15</v>
      </c>
      <c r="B16" s="4" t="s">
        <v>28</v>
      </c>
      <c r="C16" s="4" t="s">
        <v>53</v>
      </c>
      <c r="D16" s="23" t="n">
        <v>38603.9166666667</v>
      </c>
      <c r="E16" s="23" t="n">
        <v>38604.5208333333</v>
      </c>
      <c r="F16" s="23" t="n">
        <v>38604.6041666667</v>
      </c>
      <c r="G16" s="4" t="n">
        <f aca="false">YEAR(E16)</f>
        <v>2005</v>
      </c>
      <c r="H16" s="4" t="str">
        <f aca="false">IF(E16&lt;DATE(2015,1,1),"2005–2014",IF(E16&lt;DATE(2022,3,5),"2015 – Mar 2022","Mar 2022 – Oct 2026"))</f>
        <v>2005–2014</v>
      </c>
      <c r="I16" s="24" t="n">
        <v>202.299</v>
      </c>
      <c r="J16" s="24" t="n">
        <v>201.752</v>
      </c>
      <c r="K16" s="24" t="n">
        <v>204.268</v>
      </c>
      <c r="L16" s="25" t="n">
        <v>3.604</v>
      </c>
      <c r="M16" s="26" t="n">
        <v>54.657</v>
      </c>
      <c r="N16" s="4" t="s">
        <v>34</v>
      </c>
      <c r="O16" s="27" t="n">
        <v>-1.0137</v>
      </c>
      <c r="P16" s="28" t="n">
        <f aca="false">Summary!$C$6*O16</f>
        <v>-0.0050685</v>
      </c>
      <c r="Q16" s="29" t="n">
        <f aca="false">Q15*(1+P16)</f>
        <v>9871.54284100994</v>
      </c>
      <c r="R16" s="29" t="n">
        <f aca="false">MAX(R15,Q16)</f>
        <v>10023.2597135772</v>
      </c>
      <c r="S16" s="30" t="n">
        <f aca="false">Q16/R16-1</f>
        <v>-0.0151364802372416</v>
      </c>
      <c r="T16" s="31" t="n">
        <f aca="false">DATE(YEAR(F16),MONTH(F16),1)</f>
        <v>38596</v>
      </c>
    </row>
    <row r="17" customFormat="false" ht="15" hidden="false" customHeight="true" outlineLevel="0" collapsed="false">
      <c r="A17" s="4" t="n">
        <v>16</v>
      </c>
      <c r="B17" s="4" t="s">
        <v>27</v>
      </c>
      <c r="C17" s="4" t="s">
        <v>53</v>
      </c>
      <c r="D17" s="23" t="n">
        <v>38618.9166666667</v>
      </c>
      <c r="E17" s="23" t="n">
        <v>38621.15625</v>
      </c>
      <c r="F17" s="23" t="n">
        <v>38622.2708333333</v>
      </c>
      <c r="G17" s="4" t="n">
        <f aca="false">YEAR(E17)</f>
        <v>2005</v>
      </c>
      <c r="H17" s="4" t="str">
        <f aca="false">IF(E17&lt;DATE(2015,1,1),"2005–2014",IF(E17&lt;DATE(2022,3,5),"2015 – Mar 2022","Mar 2022 – Oct 2026"))</f>
        <v>2005–2014</v>
      </c>
      <c r="I17" s="24" t="n">
        <v>199.305</v>
      </c>
      <c r="J17" s="24" t="n">
        <v>198.702</v>
      </c>
      <c r="K17" s="24" t="n">
        <v>201.221</v>
      </c>
      <c r="L17" s="25" t="n">
        <v>3.177</v>
      </c>
      <c r="M17" s="26" t="n">
        <v>60.33</v>
      </c>
      <c r="N17" s="4" t="s">
        <v>35</v>
      </c>
      <c r="O17" s="27" t="n">
        <v>0.0373</v>
      </c>
      <c r="P17" s="28" t="n">
        <f aca="false">Summary!$C$6*O17</f>
        <v>0.0001865</v>
      </c>
      <c r="Q17" s="29" t="n">
        <f aca="false">Q16*(1+P17)</f>
        <v>9873.38388374979</v>
      </c>
      <c r="R17" s="29" t="n">
        <f aca="false">MAX(R16,Q17)</f>
        <v>10023.2597135772</v>
      </c>
      <c r="S17" s="30" t="n">
        <f aca="false">Q17/R17-1</f>
        <v>-0.0149528031908058</v>
      </c>
      <c r="T17" s="31" t="n">
        <f aca="false">DATE(YEAR(F17),MONTH(F17),1)</f>
        <v>38596</v>
      </c>
    </row>
    <row r="18" customFormat="false" ht="15" hidden="false" customHeight="true" outlineLevel="0" collapsed="false">
      <c r="A18" s="4" t="n">
        <v>17</v>
      </c>
      <c r="B18" s="4" t="s">
        <v>28</v>
      </c>
      <c r="C18" s="4" t="s">
        <v>54</v>
      </c>
      <c r="D18" s="23" t="n">
        <v>38624.9166666667</v>
      </c>
      <c r="E18" s="23" t="n">
        <v>38625.4166666667</v>
      </c>
      <c r="F18" s="23" t="n">
        <v>38625.6145833333</v>
      </c>
      <c r="G18" s="4" t="n">
        <f aca="false">YEAR(E18)</f>
        <v>2005</v>
      </c>
      <c r="H18" s="4" t="str">
        <f aca="false">IF(E18&lt;DATE(2015,1,1),"2005–2014",IF(E18&lt;DATE(2022,3,5),"2015 – Mar 2022","Mar 2022 – Oct 2026"))</f>
        <v>2005–2014</v>
      </c>
      <c r="I18" s="24" t="n">
        <v>199.844</v>
      </c>
      <c r="J18" s="24" t="n">
        <v>200.402</v>
      </c>
      <c r="K18" s="24" t="n">
        <v>198.034</v>
      </c>
      <c r="L18" s="25" t="n">
        <v>3.248</v>
      </c>
      <c r="M18" s="26" t="n">
        <v>55.739</v>
      </c>
      <c r="N18" s="4" t="s">
        <v>34</v>
      </c>
      <c r="O18" s="27" t="n">
        <v>-1.0135</v>
      </c>
      <c r="P18" s="28" t="n">
        <f aca="false">Summary!$C$6*O18</f>
        <v>-0.0050675</v>
      </c>
      <c r="Q18" s="29" t="n">
        <f aca="false">Q17*(1+P18)</f>
        <v>9823.35051091889</v>
      </c>
      <c r="R18" s="29" t="n">
        <f aca="false">MAX(R17,Q18)</f>
        <v>10023.2597135772</v>
      </c>
      <c r="S18" s="30" t="n">
        <f aca="false">Q18/R18-1</f>
        <v>-0.0199445298606363</v>
      </c>
      <c r="T18" s="31" t="n">
        <f aca="false">DATE(YEAR(F18),MONTH(F18),1)</f>
        <v>38596</v>
      </c>
    </row>
    <row r="19" customFormat="false" ht="15" hidden="false" customHeight="true" outlineLevel="0" collapsed="false">
      <c r="A19" s="4" t="n">
        <v>18</v>
      </c>
      <c r="B19" s="4" t="s">
        <v>27</v>
      </c>
      <c r="C19" s="4" t="s">
        <v>53</v>
      </c>
      <c r="D19" s="23" t="n">
        <v>38636.9166666667</v>
      </c>
      <c r="E19" s="23" t="n">
        <v>38637.0833333333</v>
      </c>
      <c r="F19" s="23" t="n">
        <v>38639.6145833333</v>
      </c>
      <c r="G19" s="4" t="n">
        <f aca="false">YEAR(E19)</f>
        <v>2005</v>
      </c>
      <c r="H19" s="4" t="str">
        <f aca="false">IF(E19&lt;DATE(2015,1,1),"2005–2014",IF(E19&lt;DATE(2022,3,5),"2015 – Mar 2022","Mar 2022 – Oct 2026"))</f>
        <v>2005–2014</v>
      </c>
      <c r="I19" s="24" t="n">
        <v>199.906</v>
      </c>
      <c r="J19" s="24" t="n">
        <v>199.384</v>
      </c>
      <c r="K19" s="24" t="n">
        <v>201.522</v>
      </c>
      <c r="L19" s="25" t="n">
        <v>3.097</v>
      </c>
      <c r="M19" s="26" t="n">
        <v>52.185</v>
      </c>
      <c r="N19" s="4" t="s">
        <v>33</v>
      </c>
      <c r="O19" s="27" t="n">
        <v>3.0973</v>
      </c>
      <c r="P19" s="28" t="n">
        <f aca="false">Summary!$C$6*O19</f>
        <v>0.0154865</v>
      </c>
      <c r="Q19" s="29" t="n">
        <f aca="false">Q18*(1+P19)</f>
        <v>9975.47982860623</v>
      </c>
      <c r="R19" s="29" t="n">
        <f aca="false">MAX(R18,Q19)</f>
        <v>10023.2597135772</v>
      </c>
      <c r="S19" s="30" t="n">
        <f aca="false">Q19/R19-1</f>
        <v>-0.00476690082232323</v>
      </c>
      <c r="T19" s="31" t="n">
        <f aca="false">DATE(YEAR(F19),MONTH(F19),1)</f>
        <v>38626</v>
      </c>
    </row>
    <row r="20" customFormat="false" ht="15" hidden="false" customHeight="true" outlineLevel="0" collapsed="false">
      <c r="A20" s="4" t="n">
        <v>19</v>
      </c>
      <c r="B20" s="4" t="s">
        <v>28</v>
      </c>
      <c r="C20" s="4" t="s">
        <v>53</v>
      </c>
      <c r="D20" s="23" t="n">
        <v>38639.9166666667</v>
      </c>
      <c r="E20" s="23" t="n">
        <v>38642.6145833333</v>
      </c>
      <c r="F20" s="23" t="n">
        <v>38644.3958333333</v>
      </c>
      <c r="G20" s="4" t="n">
        <f aca="false">YEAR(E20)</f>
        <v>2005</v>
      </c>
      <c r="H20" s="4" t="str">
        <f aca="false">IF(E20&lt;DATE(2015,1,1),"2005–2014",IF(E20&lt;DATE(2022,3,5),"2015 – Mar 2022","Mar 2022 – Oct 2026"))</f>
        <v>2005–2014</v>
      </c>
      <c r="I20" s="24" t="n">
        <v>201.311</v>
      </c>
      <c r="J20" s="24" t="n">
        <v>200.797</v>
      </c>
      <c r="K20" s="24" t="n">
        <v>202.872</v>
      </c>
      <c r="L20" s="25" t="n">
        <v>3.036</v>
      </c>
      <c r="M20" s="26" t="n">
        <v>51.425</v>
      </c>
      <c r="N20" s="4" t="s">
        <v>33</v>
      </c>
      <c r="O20" s="27" t="n">
        <v>3.0357</v>
      </c>
      <c r="P20" s="28" t="n">
        <f aca="false">Summary!$C$6*O20</f>
        <v>0.0151785</v>
      </c>
      <c r="Q20" s="29" t="n">
        <f aca="false">Q19*(1+P20)</f>
        <v>10126.8926491847</v>
      </c>
      <c r="R20" s="29" t="n">
        <f aca="false">MAX(R19,Q20)</f>
        <v>10126.8926491847</v>
      </c>
      <c r="S20" s="30" t="n">
        <f aca="false">Q20/R20-1</f>
        <v>0</v>
      </c>
      <c r="T20" s="31" t="n">
        <f aca="false">DATE(YEAR(F20),MONTH(F20),1)</f>
        <v>38626</v>
      </c>
    </row>
    <row r="21" customFormat="false" ht="15" hidden="false" customHeight="true" outlineLevel="0" collapsed="false">
      <c r="A21" s="4" t="n">
        <v>20</v>
      </c>
      <c r="B21" s="4" t="s">
        <v>28</v>
      </c>
      <c r="C21" s="4" t="s">
        <v>54</v>
      </c>
      <c r="D21" s="23" t="n">
        <v>38664.9166666667</v>
      </c>
      <c r="E21" s="23" t="n">
        <v>38665.96875</v>
      </c>
      <c r="F21" s="23" t="n">
        <v>38666.4270833333</v>
      </c>
      <c r="G21" s="4" t="n">
        <f aca="false">YEAR(E21)</f>
        <v>2005</v>
      </c>
      <c r="H21" s="4" t="str">
        <f aca="false">IF(E21&lt;DATE(2015,1,1),"2005–2014",IF(E21&lt;DATE(2022,3,5),"2015 – Mar 2022","Mar 2022 – Oct 2026"))</f>
        <v>2005–2014</v>
      </c>
      <c r="I21" s="24" t="n">
        <v>205.126</v>
      </c>
      <c r="J21" s="24" t="n">
        <v>205.636</v>
      </c>
      <c r="K21" s="24" t="n">
        <v>203.346</v>
      </c>
      <c r="L21" s="25" t="n">
        <v>3.492</v>
      </c>
      <c r="M21" s="26" t="n">
        <v>50.971</v>
      </c>
      <c r="N21" s="4" t="s">
        <v>34</v>
      </c>
      <c r="O21" s="27" t="n">
        <v>-1.0147</v>
      </c>
      <c r="P21" s="28" t="n">
        <f aca="false">Summary!$C$6*O21</f>
        <v>-0.0050735</v>
      </c>
      <c r="Q21" s="29" t="n">
        <f aca="false">Q20*(1+P21)</f>
        <v>10075.5138593291</v>
      </c>
      <c r="R21" s="29" t="n">
        <f aca="false">MAX(R20,Q21)</f>
        <v>10126.8926491847</v>
      </c>
      <c r="S21" s="30" t="n">
        <f aca="false">Q21/R21-1</f>
        <v>-0.00507349999999995</v>
      </c>
      <c r="T21" s="31" t="n">
        <f aca="false">DATE(YEAR(F21),MONTH(F21),1)</f>
        <v>38657</v>
      </c>
    </row>
    <row r="22" customFormat="false" ht="15" hidden="false" customHeight="true" outlineLevel="0" collapsed="false">
      <c r="A22" s="4" t="n">
        <v>21</v>
      </c>
      <c r="B22" s="4" t="s">
        <v>28</v>
      </c>
      <c r="C22" s="4" t="s">
        <v>53</v>
      </c>
      <c r="D22" s="23" t="n">
        <v>38666.9166666667</v>
      </c>
      <c r="E22" s="23" t="n">
        <v>38667.0104166667</v>
      </c>
      <c r="F22" s="23" t="n">
        <v>38672.6041666667</v>
      </c>
      <c r="G22" s="4" t="n">
        <f aca="false">YEAR(E22)</f>
        <v>2005</v>
      </c>
      <c r="H22" s="4" t="str">
        <f aca="false">IF(E22&lt;DATE(2015,1,1),"2005–2014",IF(E22&lt;DATE(2022,3,5),"2015 – Mar 2022","Mar 2022 – Oct 2026"))</f>
        <v>2005–2014</v>
      </c>
      <c r="I22" s="24" t="n">
        <v>205.163</v>
      </c>
      <c r="J22" s="24" t="n">
        <v>204.646</v>
      </c>
      <c r="K22" s="24" t="n">
        <v>207.603</v>
      </c>
      <c r="L22" s="25" t="n">
        <v>4.721</v>
      </c>
      <c r="M22" s="26" t="n">
        <v>51.685</v>
      </c>
      <c r="N22" s="4" t="s">
        <v>35</v>
      </c>
      <c r="O22" s="27" t="n">
        <v>0.0435</v>
      </c>
      <c r="P22" s="28" t="n">
        <f aca="false">Summary!$C$6*O22</f>
        <v>0.0002175</v>
      </c>
      <c r="Q22" s="29" t="n">
        <f aca="false">Q21*(1+P22)</f>
        <v>10077.7052835935</v>
      </c>
      <c r="R22" s="29" t="n">
        <f aca="false">MAX(R21,Q22)</f>
        <v>10126.8926491847</v>
      </c>
      <c r="S22" s="30" t="n">
        <f aca="false">Q22/R22-1</f>
        <v>-0.00485710348625001</v>
      </c>
      <c r="T22" s="31" t="n">
        <f aca="false">DATE(YEAR(F22),MONTH(F22),1)</f>
        <v>38657</v>
      </c>
    </row>
    <row r="23" customFormat="false" ht="15" hidden="false" customHeight="true" outlineLevel="0" collapsed="false">
      <c r="A23" s="4" t="n">
        <v>22</v>
      </c>
      <c r="B23" s="4" t="s">
        <v>27</v>
      </c>
      <c r="C23" s="4" t="s">
        <v>53</v>
      </c>
      <c r="D23" s="23" t="n">
        <v>38679.9166666667</v>
      </c>
      <c r="E23" s="23" t="n">
        <v>38680.125</v>
      </c>
      <c r="F23" s="23" t="n">
        <v>38684.3333333333</v>
      </c>
      <c r="G23" s="4" t="n">
        <f aca="false">YEAR(E23)</f>
        <v>2005</v>
      </c>
      <c r="H23" s="4" t="str">
        <f aca="false">IF(E23&lt;DATE(2015,1,1),"2005–2014",IF(E23&lt;DATE(2022,3,5),"2015 – Mar 2022","Mar 2022 – Oct 2026"))</f>
        <v>2005–2014</v>
      </c>
      <c r="I23" s="24" t="n">
        <v>204.472</v>
      </c>
      <c r="J23" s="24" t="n">
        <v>203.984</v>
      </c>
      <c r="K23" s="24" t="n">
        <v>206.318</v>
      </c>
      <c r="L23" s="25" t="n">
        <v>3.783</v>
      </c>
      <c r="M23" s="26" t="n">
        <v>48.814</v>
      </c>
      <c r="N23" s="4" t="s">
        <v>35</v>
      </c>
      <c r="O23" s="27" t="n">
        <v>0.0461</v>
      </c>
      <c r="P23" s="28" t="n">
        <f aca="false">Summary!$C$6*O23</f>
        <v>0.0002305</v>
      </c>
      <c r="Q23" s="29" t="n">
        <f aca="false">Q22*(1+P23)</f>
        <v>10080.0281946614</v>
      </c>
      <c r="R23" s="29" t="n">
        <f aca="false">MAX(R22,Q23)</f>
        <v>10126.8926491847</v>
      </c>
      <c r="S23" s="30" t="n">
        <f aca="false">Q23/R23-1</f>
        <v>-0.00462772304860348</v>
      </c>
      <c r="T23" s="31" t="n">
        <f aca="false">DATE(YEAR(F23),MONTH(F23),1)</f>
        <v>38657</v>
      </c>
    </row>
    <row r="24" customFormat="false" ht="15" hidden="false" customHeight="true" outlineLevel="0" collapsed="false">
      <c r="A24" s="4" t="n">
        <v>23</v>
      </c>
      <c r="B24" s="4" t="s">
        <v>27</v>
      </c>
      <c r="C24" s="4" t="s">
        <v>53</v>
      </c>
      <c r="D24" s="23" t="n">
        <v>38685.9166666667</v>
      </c>
      <c r="E24" s="23" t="n">
        <v>38686.2916666667</v>
      </c>
      <c r="F24" s="23" t="n">
        <v>38687.34375</v>
      </c>
      <c r="G24" s="4" t="n">
        <f aca="false">YEAR(E24)</f>
        <v>2005</v>
      </c>
      <c r="H24" s="4" t="str">
        <f aca="false">IF(E24&lt;DATE(2015,1,1),"2005–2014",IF(E24&lt;DATE(2022,3,5),"2015 – Mar 2022","Mar 2022 – Oct 2026"))</f>
        <v>2005–2014</v>
      </c>
      <c r="I24" s="24" t="n">
        <v>205.448</v>
      </c>
      <c r="J24" s="24" t="n">
        <v>204.977</v>
      </c>
      <c r="K24" s="24" t="n">
        <v>207.609</v>
      </c>
      <c r="L24" s="25" t="n">
        <v>4.589</v>
      </c>
      <c r="M24" s="26" t="n">
        <v>47.082</v>
      </c>
      <c r="N24" s="4" t="s">
        <v>33</v>
      </c>
      <c r="O24" s="27" t="n">
        <v>4.589</v>
      </c>
      <c r="P24" s="28" t="n">
        <f aca="false">Summary!$C$6*O24</f>
        <v>0.022945</v>
      </c>
      <c r="Q24" s="29" t="n">
        <f aca="false">Q23*(1+P24)</f>
        <v>10311.3144415879</v>
      </c>
      <c r="R24" s="29" t="n">
        <f aca="false">MAX(R23,Q24)</f>
        <v>10311.3144415879</v>
      </c>
      <c r="S24" s="30" t="n">
        <f aca="false">Q24/R24-1</f>
        <v>0</v>
      </c>
      <c r="T24" s="31" t="n">
        <f aca="false">DATE(YEAR(F24),MONTH(F24),1)</f>
        <v>38687</v>
      </c>
    </row>
    <row r="25" customFormat="false" ht="15" hidden="false" customHeight="true" outlineLevel="0" collapsed="false">
      <c r="A25" s="4" t="n">
        <v>24</v>
      </c>
      <c r="B25" s="4" t="s">
        <v>27</v>
      </c>
      <c r="C25" s="4" t="s">
        <v>53</v>
      </c>
      <c r="D25" s="23" t="n">
        <v>38702.9166666667</v>
      </c>
      <c r="E25" s="23" t="n">
        <v>38705.6354166667</v>
      </c>
      <c r="F25" s="23" t="n">
        <v>38707.6145833333</v>
      </c>
      <c r="G25" s="4" t="n">
        <f aca="false">YEAR(E25)</f>
        <v>2005</v>
      </c>
      <c r="H25" s="4" t="str">
        <f aca="false">IF(E25&lt;DATE(2015,1,1),"2005–2014",IF(E25&lt;DATE(2022,3,5),"2015 – Mar 2022","Mar 2022 – Oct 2026"))</f>
        <v>2005–2014</v>
      </c>
      <c r="I25" s="24" t="n">
        <v>204.57</v>
      </c>
      <c r="J25" s="24" t="n">
        <v>203.829</v>
      </c>
      <c r="K25" s="24" t="n">
        <v>207.576</v>
      </c>
      <c r="L25" s="25" t="n">
        <v>4.058</v>
      </c>
      <c r="M25" s="26" t="n">
        <v>74.071</v>
      </c>
      <c r="N25" s="4" t="s">
        <v>35</v>
      </c>
      <c r="O25" s="27" t="n">
        <v>0.0304</v>
      </c>
      <c r="P25" s="28" t="n">
        <f aca="false">Summary!$C$6*O25</f>
        <v>0.000152</v>
      </c>
      <c r="Q25" s="29" t="n">
        <f aca="false">Q24*(1+P25)</f>
        <v>10312.881761383</v>
      </c>
      <c r="R25" s="29" t="n">
        <f aca="false">MAX(R24,Q25)</f>
        <v>10312.881761383</v>
      </c>
      <c r="S25" s="30" t="n">
        <f aca="false">Q25/R25-1</f>
        <v>0</v>
      </c>
      <c r="T25" s="31" t="n">
        <f aca="false">DATE(YEAR(F25),MONTH(F25),1)</f>
        <v>38687</v>
      </c>
    </row>
    <row r="26" customFormat="false" ht="15" hidden="false" customHeight="true" outlineLevel="0" collapsed="false">
      <c r="A26" s="4" t="n">
        <v>25</v>
      </c>
      <c r="B26" s="4" t="s">
        <v>27</v>
      </c>
      <c r="C26" s="4" t="s">
        <v>53</v>
      </c>
      <c r="D26" s="23" t="n">
        <v>38707.9166666667</v>
      </c>
      <c r="E26" s="23" t="n">
        <v>38708.0208333333</v>
      </c>
      <c r="F26" s="23" t="n">
        <v>38708.3854166667</v>
      </c>
      <c r="G26" s="4" t="n">
        <f aca="false">YEAR(E26)</f>
        <v>2005</v>
      </c>
      <c r="H26" s="4" t="str">
        <f aca="false">IF(E26&lt;DATE(2015,1,1),"2005–2014",IF(E26&lt;DATE(2022,3,5),"2015 – Mar 2022","Mar 2022 – Oct 2026"))</f>
        <v>2005–2014</v>
      </c>
      <c r="I26" s="24" t="n">
        <v>204.996</v>
      </c>
      <c r="J26" s="24" t="n">
        <v>204.244</v>
      </c>
      <c r="K26" s="24" t="n">
        <v>207.574</v>
      </c>
      <c r="L26" s="25" t="n">
        <v>3.429</v>
      </c>
      <c r="M26" s="26" t="n">
        <v>75.188</v>
      </c>
      <c r="N26" s="4" t="s">
        <v>34</v>
      </c>
      <c r="O26" s="27" t="n">
        <v>-1.01</v>
      </c>
      <c r="P26" s="28" t="n">
        <f aca="false">Summary!$C$6*O26</f>
        <v>-0.00505</v>
      </c>
      <c r="Q26" s="29" t="n">
        <f aca="false">Q25*(1+P26)</f>
        <v>10260.801708488</v>
      </c>
      <c r="R26" s="29" t="n">
        <f aca="false">MAX(R25,Q26)</f>
        <v>10312.881761383</v>
      </c>
      <c r="S26" s="30" t="n">
        <f aca="false">Q26/R26-1</f>
        <v>-0.00505</v>
      </c>
      <c r="T26" s="31" t="n">
        <f aca="false">DATE(YEAR(F26),MONTH(F26),1)</f>
        <v>38687</v>
      </c>
    </row>
    <row r="27" customFormat="false" ht="15" hidden="false" customHeight="true" outlineLevel="0" collapsed="false">
      <c r="A27" s="4" t="n">
        <v>26</v>
      </c>
      <c r="B27" s="4" t="s">
        <v>28</v>
      </c>
      <c r="C27" s="4" t="s">
        <v>54</v>
      </c>
      <c r="D27" s="23" t="n">
        <v>38709.9166666667</v>
      </c>
      <c r="E27" s="23" t="n">
        <v>38713.0520833333</v>
      </c>
      <c r="F27" s="23" t="n">
        <v>38713.3958333333</v>
      </c>
      <c r="G27" s="4" t="n">
        <f aca="false">YEAR(E27)</f>
        <v>2005</v>
      </c>
      <c r="H27" s="4" t="str">
        <f aca="false">IF(E27&lt;DATE(2015,1,1),"2005–2014",IF(E27&lt;DATE(2022,3,5),"2015 – Mar 2022","Mar 2022 – Oct 2026"))</f>
        <v>2005–2014</v>
      </c>
      <c r="I27" s="24" t="n">
        <v>202.451</v>
      </c>
      <c r="J27" s="24" t="n">
        <v>203.231</v>
      </c>
      <c r="K27" s="24" t="n">
        <v>200.075</v>
      </c>
      <c r="L27" s="25" t="n">
        <v>3.045</v>
      </c>
      <c r="M27" s="26" t="n">
        <v>78.012</v>
      </c>
      <c r="N27" s="4" t="s">
        <v>34</v>
      </c>
      <c r="O27" s="27" t="n">
        <v>-1.0096</v>
      </c>
      <c r="P27" s="28" t="n">
        <f aca="false">Summary!$C$6*O27</f>
        <v>-0.005048</v>
      </c>
      <c r="Q27" s="29" t="n">
        <f aca="false">Q26*(1+P27)</f>
        <v>10209.0051814636</v>
      </c>
      <c r="R27" s="29" t="n">
        <f aca="false">MAX(R26,Q27)</f>
        <v>10312.881761383</v>
      </c>
      <c r="S27" s="30" t="n">
        <f aca="false">Q27/R27-1</f>
        <v>-0.0100725076</v>
      </c>
      <c r="T27" s="31" t="n">
        <f aca="false">DATE(YEAR(F27),MONTH(F27),1)</f>
        <v>38687</v>
      </c>
    </row>
    <row r="28" customFormat="false" ht="15" hidden="false" customHeight="true" outlineLevel="0" collapsed="false">
      <c r="A28" s="4" t="n">
        <v>27</v>
      </c>
      <c r="B28" s="4" t="s">
        <v>28</v>
      </c>
      <c r="C28" s="4" t="s">
        <v>53</v>
      </c>
      <c r="D28" s="23" t="n">
        <v>38713.9166666667</v>
      </c>
      <c r="E28" s="23" t="n">
        <v>38714.7083333333</v>
      </c>
      <c r="F28" s="23" t="n">
        <v>38716.1458333333</v>
      </c>
      <c r="G28" s="4" t="n">
        <f aca="false">YEAR(E28)</f>
        <v>2005</v>
      </c>
      <c r="H28" s="4" t="str">
        <f aca="false">IF(E28&lt;DATE(2015,1,1),"2005–2014",IF(E28&lt;DATE(2022,3,5),"2015 – Mar 2022","Mar 2022 – Oct 2026"))</f>
        <v>2005–2014</v>
      </c>
      <c r="I28" s="24" t="n">
        <v>201.953</v>
      </c>
      <c r="J28" s="24" t="n">
        <v>201.247</v>
      </c>
      <c r="K28" s="24" t="n">
        <v>204.124</v>
      </c>
      <c r="L28" s="25" t="n">
        <v>3.074</v>
      </c>
      <c r="M28" s="26" t="n">
        <v>70.619</v>
      </c>
      <c r="N28" s="4" t="s">
        <v>35</v>
      </c>
      <c r="O28" s="27" t="n">
        <v>0.0319</v>
      </c>
      <c r="P28" s="28" t="n">
        <f aca="false">Summary!$C$6*O28</f>
        <v>0.0001595</v>
      </c>
      <c r="Q28" s="29" t="n">
        <f aca="false">Q27*(1+P28)</f>
        <v>10210.63351779</v>
      </c>
      <c r="R28" s="29" t="n">
        <f aca="false">MAX(R27,Q28)</f>
        <v>10312.881761383</v>
      </c>
      <c r="S28" s="30" t="n">
        <f aca="false">Q28/R28-1</f>
        <v>-0.00991461416496209</v>
      </c>
      <c r="T28" s="31" t="n">
        <f aca="false">DATE(YEAR(F28),MONTH(F28),1)</f>
        <v>38687</v>
      </c>
    </row>
    <row r="29" customFormat="false" ht="15" hidden="false" customHeight="true" outlineLevel="0" collapsed="false">
      <c r="A29" s="4" t="n">
        <v>28</v>
      </c>
      <c r="B29" s="4" t="s">
        <v>27</v>
      </c>
      <c r="C29" s="4" t="s">
        <v>53</v>
      </c>
      <c r="D29" s="23" t="n">
        <v>38716.9166666667</v>
      </c>
      <c r="E29" s="23" t="n">
        <v>38719.1770833333</v>
      </c>
      <c r="F29" s="23" t="n">
        <v>38723.5729166667</v>
      </c>
      <c r="G29" s="4" t="n">
        <f aca="false">YEAR(E29)</f>
        <v>2006</v>
      </c>
      <c r="H29" s="4" t="str">
        <f aca="false">IF(E29&lt;DATE(2015,1,1),"2005–2014",IF(E29&lt;DATE(2022,3,5),"2015 – Mar 2022","Mar 2022 – Oct 2026"))</f>
        <v>2005–2014</v>
      </c>
      <c r="I29" s="24" t="n">
        <v>202.665</v>
      </c>
      <c r="J29" s="24" t="n">
        <v>201.962</v>
      </c>
      <c r="K29" s="24" t="n">
        <v>205.068</v>
      </c>
      <c r="L29" s="25" t="n">
        <v>3.419</v>
      </c>
      <c r="M29" s="26" t="n">
        <v>70.284</v>
      </c>
      <c r="N29" s="4" t="s">
        <v>35</v>
      </c>
      <c r="O29" s="27" t="n">
        <v>0.032</v>
      </c>
      <c r="P29" s="28" t="n">
        <f aca="false">Summary!$C$6*O29</f>
        <v>0.00016</v>
      </c>
      <c r="Q29" s="29" t="n">
        <f aca="false">Q28*(1+P29)</f>
        <v>10212.2672191529</v>
      </c>
      <c r="R29" s="29" t="n">
        <f aca="false">MAX(R28,Q29)</f>
        <v>10312.881761383</v>
      </c>
      <c r="S29" s="30" t="n">
        <f aca="false">Q29/R29-1</f>
        <v>-0.00975620050322856</v>
      </c>
      <c r="T29" s="31" t="n">
        <f aca="false">DATE(YEAR(F29),MONTH(F29),1)</f>
        <v>38718</v>
      </c>
    </row>
    <row r="30" customFormat="false" ht="15" hidden="false" customHeight="true" outlineLevel="0" collapsed="false">
      <c r="A30" s="4" t="n">
        <v>29</v>
      </c>
      <c r="B30" s="4" t="s">
        <v>28</v>
      </c>
      <c r="C30" s="4" t="s">
        <v>53</v>
      </c>
      <c r="D30" s="23" t="n">
        <v>38763.9166666667</v>
      </c>
      <c r="E30" s="23" t="n">
        <v>38764.40625</v>
      </c>
      <c r="F30" s="23" t="n">
        <v>38764.9895833333</v>
      </c>
      <c r="G30" s="4" t="n">
        <f aca="false">YEAR(E30)</f>
        <v>2006</v>
      </c>
      <c r="H30" s="4" t="str">
        <f aca="false">IF(E30&lt;DATE(2015,1,1),"2005–2014",IF(E30&lt;DATE(2022,3,5),"2015 – Mar 2022","Mar 2022 – Oct 2026"))</f>
        <v>2005–2014</v>
      </c>
      <c r="I30" s="24" t="n">
        <v>204.176</v>
      </c>
      <c r="J30" s="24" t="n">
        <v>203.552</v>
      </c>
      <c r="K30" s="24" t="n">
        <v>206.302</v>
      </c>
      <c r="L30" s="25" t="n">
        <v>3.407</v>
      </c>
      <c r="M30" s="26" t="n">
        <v>62.402</v>
      </c>
      <c r="N30" s="4" t="s">
        <v>35</v>
      </c>
      <c r="O30" s="27" t="n">
        <v>0.0361</v>
      </c>
      <c r="P30" s="28" t="n">
        <f aca="false">Summary!$C$6*O30</f>
        <v>0.0001805</v>
      </c>
      <c r="Q30" s="29" t="n">
        <f aca="false">Q29*(1+P30)</f>
        <v>10214.1105333859</v>
      </c>
      <c r="R30" s="29" t="n">
        <f aca="false">MAX(R29,Q30)</f>
        <v>10312.881761383</v>
      </c>
      <c r="S30" s="30" t="n">
        <f aca="false">Q30/R30-1</f>
        <v>-0.00957746149741956</v>
      </c>
      <c r="T30" s="31" t="n">
        <f aca="false">DATE(YEAR(F30),MONTH(F30),1)</f>
        <v>38749</v>
      </c>
    </row>
    <row r="31" customFormat="false" ht="15" hidden="false" customHeight="true" outlineLevel="0" collapsed="false">
      <c r="A31" s="4" t="n">
        <v>30</v>
      </c>
      <c r="B31" s="4" t="s">
        <v>28</v>
      </c>
      <c r="C31" s="4" t="s">
        <v>53</v>
      </c>
      <c r="D31" s="23" t="n">
        <v>38779.9166666667</v>
      </c>
      <c r="E31" s="23" t="n">
        <v>38784.0729166667</v>
      </c>
      <c r="F31" s="23" t="n">
        <v>38785.3645833333</v>
      </c>
      <c r="G31" s="4" t="n">
        <f aca="false">YEAR(E31)</f>
        <v>2006</v>
      </c>
      <c r="H31" s="4" t="str">
        <f aca="false">IF(E31&lt;DATE(2015,1,1),"2005–2014",IF(E31&lt;DATE(2022,3,5),"2015 – Mar 2022","Mar 2022 – Oct 2026"))</f>
        <v>2005–2014</v>
      </c>
      <c r="I31" s="24" t="n">
        <v>203.817</v>
      </c>
      <c r="J31" s="24" t="n">
        <v>203.215</v>
      </c>
      <c r="K31" s="24" t="n">
        <v>206.305</v>
      </c>
      <c r="L31" s="25" t="n">
        <v>4.134</v>
      </c>
      <c r="M31" s="26" t="n">
        <v>60.184</v>
      </c>
      <c r="N31" s="4" t="s">
        <v>35</v>
      </c>
      <c r="O31" s="27" t="n">
        <v>0.0374</v>
      </c>
      <c r="P31" s="28" t="n">
        <f aca="false">Summary!$C$6*O31</f>
        <v>0.000187</v>
      </c>
      <c r="Q31" s="29" t="n">
        <f aca="false">Q30*(1+P31)</f>
        <v>10216.0205720557</v>
      </c>
      <c r="R31" s="29" t="n">
        <f aca="false">MAX(R30,Q31)</f>
        <v>10312.881761383</v>
      </c>
      <c r="S31" s="30" t="n">
        <f aca="false">Q31/R31-1</f>
        <v>-0.00939225248271958</v>
      </c>
      <c r="T31" s="31" t="n">
        <f aca="false">DATE(YEAR(F31),MONTH(F31),1)</f>
        <v>38777</v>
      </c>
    </row>
    <row r="32" customFormat="false" ht="15" hidden="false" customHeight="true" outlineLevel="0" collapsed="false">
      <c r="A32" s="4" t="n">
        <v>31</v>
      </c>
      <c r="B32" s="4" t="s">
        <v>28</v>
      </c>
      <c r="C32" s="4" t="s">
        <v>53</v>
      </c>
      <c r="D32" s="23" t="n">
        <v>38789.9166666667</v>
      </c>
      <c r="E32" s="23" t="n">
        <v>38790.4895833333</v>
      </c>
      <c r="F32" s="23" t="n">
        <v>38793.3020833333</v>
      </c>
      <c r="G32" s="4" t="n">
        <f aca="false">YEAR(E32)</f>
        <v>2006</v>
      </c>
      <c r="H32" s="4" t="str">
        <f aca="false">IF(E32&lt;DATE(2015,1,1),"2005–2014",IF(E32&lt;DATE(2022,3,5),"2015 – Mar 2022","Mar 2022 – Oct 2026"))</f>
        <v>2005–2014</v>
      </c>
      <c r="I32" s="24" t="n">
        <v>205.172</v>
      </c>
      <c r="J32" s="24" t="n">
        <v>204.582</v>
      </c>
      <c r="K32" s="24" t="n">
        <v>207.164</v>
      </c>
      <c r="L32" s="25" t="n">
        <v>3.379</v>
      </c>
      <c r="M32" s="26" t="n">
        <v>58.97</v>
      </c>
      <c r="N32" s="4" t="s">
        <v>34</v>
      </c>
      <c r="O32" s="27" t="n">
        <v>-1.0127</v>
      </c>
      <c r="P32" s="28" t="n">
        <f aca="false">Summary!$C$6*O32</f>
        <v>-0.0050635</v>
      </c>
      <c r="Q32" s="29" t="n">
        <f aca="false">Q31*(1+P32)</f>
        <v>10164.291751889</v>
      </c>
      <c r="R32" s="29" t="n">
        <f aca="false">MAX(R31,Q32)</f>
        <v>10312.881761383</v>
      </c>
      <c r="S32" s="30" t="n">
        <f aca="false">Q32/R32-1</f>
        <v>-0.0144081948122733</v>
      </c>
      <c r="T32" s="31" t="n">
        <f aca="false">DATE(YEAR(F32),MONTH(F32),1)</f>
        <v>38777</v>
      </c>
    </row>
    <row r="33" customFormat="false" ht="15" hidden="false" customHeight="true" outlineLevel="0" collapsed="false">
      <c r="A33" s="4" t="n">
        <v>32</v>
      </c>
      <c r="B33" s="4" t="s">
        <v>28</v>
      </c>
      <c r="C33" s="4" t="s">
        <v>53</v>
      </c>
      <c r="D33" s="23" t="n">
        <v>38796.9166666667</v>
      </c>
      <c r="E33" s="23" t="n">
        <v>38797.375</v>
      </c>
      <c r="F33" s="23" t="n">
        <v>38798.71875</v>
      </c>
      <c r="G33" s="4" t="n">
        <f aca="false">YEAR(E33)</f>
        <v>2006</v>
      </c>
      <c r="H33" s="4" t="str">
        <f aca="false">IF(E33&lt;DATE(2015,1,1),"2005–2014",IF(E33&lt;DATE(2022,3,5),"2015 – Mar 2022","Mar 2022 – Oct 2026"))</f>
        <v>2005–2014</v>
      </c>
      <c r="I33" s="24" t="n">
        <v>203.838</v>
      </c>
      <c r="J33" s="24" t="n">
        <v>203.248</v>
      </c>
      <c r="K33" s="24" t="n">
        <v>205.654</v>
      </c>
      <c r="L33" s="25" t="n">
        <v>3.074</v>
      </c>
      <c r="M33" s="26" t="n">
        <v>59.063</v>
      </c>
      <c r="N33" s="4" t="s">
        <v>35</v>
      </c>
      <c r="O33" s="27" t="n">
        <v>0.0381</v>
      </c>
      <c r="P33" s="28" t="n">
        <f aca="false">Summary!$C$6*O33</f>
        <v>0.0001905</v>
      </c>
      <c r="Q33" s="29" t="n">
        <f aca="false">Q32*(1+P33)</f>
        <v>10166.2280494678</v>
      </c>
      <c r="R33" s="29" t="n">
        <f aca="false">MAX(R32,Q33)</f>
        <v>10312.881761383</v>
      </c>
      <c r="S33" s="30" t="n">
        <f aca="false">Q33/R33-1</f>
        <v>-0.0142204395733849</v>
      </c>
      <c r="T33" s="31" t="n">
        <f aca="false">DATE(YEAR(F33),MONTH(F33),1)</f>
        <v>38777</v>
      </c>
    </row>
    <row r="34" customFormat="false" ht="15" hidden="false" customHeight="true" outlineLevel="0" collapsed="false">
      <c r="A34" s="4" t="n">
        <v>33</v>
      </c>
      <c r="B34" s="4" t="s">
        <v>27</v>
      </c>
      <c r="C34" s="4" t="s">
        <v>53</v>
      </c>
      <c r="D34" s="23" t="n">
        <v>38799.9166666667</v>
      </c>
      <c r="E34" s="23" t="n">
        <v>38800.1041666667</v>
      </c>
      <c r="F34" s="23" t="n">
        <v>38803.0104166667</v>
      </c>
      <c r="G34" s="4" t="n">
        <f aca="false">YEAR(E34)</f>
        <v>2006</v>
      </c>
      <c r="H34" s="4" t="str">
        <f aca="false">IF(E34&lt;DATE(2015,1,1),"2005–2014",IF(E34&lt;DATE(2022,3,5),"2015 – Mar 2022","Mar 2022 – Oct 2026"))</f>
        <v>2005–2014</v>
      </c>
      <c r="I34" s="24" t="n">
        <v>204.496</v>
      </c>
      <c r="J34" s="24" t="n">
        <v>203.914</v>
      </c>
      <c r="K34" s="24" t="n">
        <v>206.307</v>
      </c>
      <c r="L34" s="25" t="n">
        <v>3.113</v>
      </c>
      <c r="M34" s="26" t="n">
        <v>58.185</v>
      </c>
      <c r="N34" s="4" t="s">
        <v>35</v>
      </c>
      <c r="O34" s="27" t="n">
        <v>0.0387</v>
      </c>
      <c r="P34" s="28" t="n">
        <f aca="false">Summary!$C$6*O34</f>
        <v>0.0001935</v>
      </c>
      <c r="Q34" s="29" t="n">
        <f aca="false">Q33*(1+P34)</f>
        <v>10168.1952145954</v>
      </c>
      <c r="R34" s="29" t="n">
        <f aca="false">MAX(R33,Q34)</f>
        <v>10312.881761383</v>
      </c>
      <c r="S34" s="30" t="n">
        <f aca="false">Q34/R34-1</f>
        <v>-0.0140296912284426</v>
      </c>
      <c r="T34" s="31" t="n">
        <f aca="false">DATE(YEAR(F34),MONTH(F34),1)</f>
        <v>38777</v>
      </c>
    </row>
    <row r="35" customFormat="false" ht="15" hidden="false" customHeight="true" outlineLevel="0" collapsed="false">
      <c r="A35" s="4" t="n">
        <v>34</v>
      </c>
      <c r="B35" s="4" t="s">
        <v>28</v>
      </c>
      <c r="C35" s="4" t="s">
        <v>54</v>
      </c>
      <c r="D35" s="23" t="n">
        <v>38803.9166666667</v>
      </c>
      <c r="E35" s="23" t="n">
        <v>38804.15625</v>
      </c>
      <c r="F35" s="23" t="n">
        <v>38804.6458333333</v>
      </c>
      <c r="G35" s="4" t="n">
        <f aca="false">YEAR(E35)</f>
        <v>2006</v>
      </c>
      <c r="H35" s="4" t="str">
        <f aca="false">IF(E35&lt;DATE(2015,1,1),"2005–2014",IF(E35&lt;DATE(2022,3,5),"2015 – Mar 2022","Mar 2022 – Oct 2026"))</f>
        <v>2005–2014</v>
      </c>
      <c r="I35" s="24" t="n">
        <v>204.309</v>
      </c>
      <c r="J35" s="24" t="n">
        <v>204.898</v>
      </c>
      <c r="K35" s="24" t="n">
        <v>202.497</v>
      </c>
      <c r="L35" s="25" t="n">
        <v>3.072</v>
      </c>
      <c r="M35" s="26" t="n">
        <v>58.97</v>
      </c>
      <c r="N35" s="4" t="s">
        <v>34</v>
      </c>
      <c r="O35" s="27" t="n">
        <v>-1.0127</v>
      </c>
      <c r="P35" s="28" t="n">
        <f aca="false">Summary!$C$6*O35</f>
        <v>-0.0050635</v>
      </c>
      <c r="Q35" s="29" t="n">
        <f aca="false">Q34*(1+P35)</f>
        <v>10116.7085581262</v>
      </c>
      <c r="R35" s="29" t="n">
        <f aca="false">MAX(R34,Q35)</f>
        <v>10312.881761383</v>
      </c>
      <c r="S35" s="30" t="n">
        <f aca="false">Q35/R35-1</f>
        <v>-0.0190221518869073</v>
      </c>
      <c r="T35" s="31" t="n">
        <f aca="false">DATE(YEAR(F35),MONTH(F35),1)</f>
        <v>38777</v>
      </c>
    </row>
    <row r="36" customFormat="false" ht="15" hidden="false" customHeight="true" outlineLevel="0" collapsed="false">
      <c r="A36" s="4" t="n">
        <v>35</v>
      </c>
      <c r="B36" s="4" t="s">
        <v>28</v>
      </c>
      <c r="C36" s="4" t="s">
        <v>53</v>
      </c>
      <c r="D36" s="23" t="n">
        <v>38804.9166666667</v>
      </c>
      <c r="E36" s="23" t="n">
        <v>38805.7395833333</v>
      </c>
      <c r="F36" s="23" t="n">
        <v>38807.34375</v>
      </c>
      <c r="G36" s="4" t="n">
        <f aca="false">YEAR(E36)</f>
        <v>2006</v>
      </c>
      <c r="H36" s="4" t="str">
        <f aca="false">IF(E36&lt;DATE(2015,1,1),"2005–2014",IF(E36&lt;DATE(2022,3,5),"2015 – Mar 2022","Mar 2022 – Oct 2026"))</f>
        <v>2005–2014</v>
      </c>
      <c r="I36" s="24" t="n">
        <v>204.212</v>
      </c>
      <c r="J36" s="24" t="n">
        <v>203.588</v>
      </c>
      <c r="K36" s="24" t="n">
        <v>206.302</v>
      </c>
      <c r="L36" s="25" t="n">
        <v>3.346</v>
      </c>
      <c r="M36" s="26" t="n">
        <v>62.436</v>
      </c>
      <c r="N36" s="4" t="s">
        <v>35</v>
      </c>
      <c r="O36" s="27" t="n">
        <v>0.036</v>
      </c>
      <c r="P36" s="28" t="n">
        <f aca="false">Summary!$C$6*O36</f>
        <v>0.00018</v>
      </c>
      <c r="Q36" s="29" t="n">
        <f aca="false">Q35*(1+P36)</f>
        <v>10118.5295656667</v>
      </c>
      <c r="R36" s="29" t="n">
        <f aca="false">MAX(R35,Q36)</f>
        <v>10312.881761383</v>
      </c>
      <c r="S36" s="30" t="n">
        <f aca="false">Q36/R36-1</f>
        <v>-0.0188455758742468</v>
      </c>
      <c r="T36" s="31" t="n">
        <f aca="false">DATE(YEAR(F36),MONTH(F36),1)</f>
        <v>38777</v>
      </c>
    </row>
    <row r="37" customFormat="false" ht="15" hidden="false" customHeight="true" outlineLevel="0" collapsed="false">
      <c r="A37" s="4" t="n">
        <v>36</v>
      </c>
      <c r="B37" s="4" t="s">
        <v>27</v>
      </c>
      <c r="C37" s="4" t="s">
        <v>53</v>
      </c>
      <c r="D37" s="23" t="n">
        <v>38807.9166666667</v>
      </c>
      <c r="E37" s="23" t="n">
        <v>38810</v>
      </c>
      <c r="F37" s="23" t="n">
        <v>38818.5104166667</v>
      </c>
      <c r="G37" s="4" t="n">
        <f aca="false">YEAR(E37)</f>
        <v>2006</v>
      </c>
      <c r="H37" s="4" t="str">
        <f aca="false">IF(E37&lt;DATE(2015,1,1),"2005–2014",IF(E37&lt;DATE(2022,3,5),"2015 – Mar 2022","Mar 2022 – Oct 2026"))</f>
        <v>2005–2014</v>
      </c>
      <c r="I37" s="24" t="n">
        <v>204.565</v>
      </c>
      <c r="J37" s="24" t="n">
        <v>203.953</v>
      </c>
      <c r="K37" s="24" t="n">
        <v>207.161</v>
      </c>
      <c r="L37" s="25" t="n">
        <v>4.245</v>
      </c>
      <c r="M37" s="26" t="n">
        <v>61.163</v>
      </c>
      <c r="N37" s="4" t="s">
        <v>33</v>
      </c>
      <c r="O37" s="27" t="n">
        <v>4.2451</v>
      </c>
      <c r="P37" s="28" t="n">
        <f aca="false">Summary!$C$6*O37</f>
        <v>0.0212255</v>
      </c>
      <c r="Q37" s="29" t="n">
        <f aca="false">Q36*(1+P37)</f>
        <v>10333.3004149628</v>
      </c>
      <c r="R37" s="29" t="n">
        <f aca="false">MAX(R36,Q37)</f>
        <v>10333.3004149628</v>
      </c>
      <c r="S37" s="30" t="n">
        <f aca="false">Q37/R37-1</f>
        <v>0</v>
      </c>
      <c r="T37" s="31" t="n">
        <f aca="false">DATE(YEAR(F37),MONTH(F37),1)</f>
        <v>38808</v>
      </c>
    </row>
    <row r="38" customFormat="false" ht="15" hidden="false" customHeight="true" outlineLevel="0" collapsed="false">
      <c r="A38" s="4" t="n">
        <v>37</v>
      </c>
      <c r="B38" s="4" t="s">
        <v>27</v>
      </c>
      <c r="C38" s="4" t="s">
        <v>54</v>
      </c>
      <c r="D38" s="23" t="n">
        <v>38833.9166666667</v>
      </c>
      <c r="E38" s="23" t="n">
        <v>38834.2604166667</v>
      </c>
      <c r="F38" s="23" t="n">
        <v>38834.4791666667</v>
      </c>
      <c r="G38" s="4" t="n">
        <f aca="false">YEAR(E38)</f>
        <v>2006</v>
      </c>
      <c r="H38" s="4" t="str">
        <f aca="false">IF(E38&lt;DATE(2015,1,1),"2005–2014",IF(E38&lt;DATE(2022,3,5),"2015 – Mar 2022","Mar 2022 – Oct 2026"))</f>
        <v>2005–2014</v>
      </c>
      <c r="I38" s="24" t="n">
        <v>204.726</v>
      </c>
      <c r="J38" s="24" t="n">
        <v>205.353</v>
      </c>
      <c r="K38" s="24" t="n">
        <v>202.501</v>
      </c>
      <c r="L38" s="25" t="n">
        <v>3.549</v>
      </c>
      <c r="M38" s="26" t="n">
        <v>62.685</v>
      </c>
      <c r="N38" s="4" t="s">
        <v>35</v>
      </c>
      <c r="O38" s="27" t="n">
        <v>0.0359</v>
      </c>
      <c r="P38" s="28" t="n">
        <f aca="false">Summary!$C$6*O38</f>
        <v>0.0001795</v>
      </c>
      <c r="Q38" s="29" t="n">
        <f aca="false">Q37*(1+P38)</f>
        <v>10335.1552423873</v>
      </c>
      <c r="R38" s="29" t="n">
        <f aca="false">MAX(R37,Q38)</f>
        <v>10335.1552423873</v>
      </c>
      <c r="S38" s="30" t="n">
        <f aca="false">Q38/R38-1</f>
        <v>0</v>
      </c>
      <c r="T38" s="31" t="n">
        <f aca="false">DATE(YEAR(F38),MONTH(F38),1)</f>
        <v>38808</v>
      </c>
    </row>
    <row r="39" customFormat="false" ht="15" hidden="false" customHeight="true" outlineLevel="0" collapsed="false">
      <c r="A39" s="4" t="n">
        <v>38</v>
      </c>
      <c r="B39" s="4" t="s">
        <v>27</v>
      </c>
      <c r="C39" s="4" t="s">
        <v>53</v>
      </c>
      <c r="D39" s="23" t="n">
        <v>38845.9166666667</v>
      </c>
      <c r="E39" s="23" t="n">
        <v>38846.2708333333</v>
      </c>
      <c r="F39" s="23" t="n">
        <v>38847.34375</v>
      </c>
      <c r="G39" s="4" t="n">
        <f aca="false">YEAR(E39)</f>
        <v>2006</v>
      </c>
      <c r="H39" s="4" t="str">
        <f aca="false">IF(E39&lt;DATE(2015,1,1),"2005–2014",IF(E39&lt;DATE(2022,3,5),"2015 – Mar 2022","Mar 2022 – Oct 2026"))</f>
        <v>2005–2014</v>
      </c>
      <c r="I39" s="24" t="n">
        <v>207.396</v>
      </c>
      <c r="J39" s="24" t="n">
        <v>206.726</v>
      </c>
      <c r="K39" s="24" t="n">
        <v>210.164</v>
      </c>
      <c r="L39" s="25" t="n">
        <v>4.131</v>
      </c>
      <c r="M39" s="26" t="n">
        <v>67.007</v>
      </c>
      <c r="N39" s="4" t="s">
        <v>34</v>
      </c>
      <c r="O39" s="27" t="n">
        <v>-1.0112</v>
      </c>
      <c r="P39" s="28" t="n">
        <f aca="false">Summary!$C$6*O39</f>
        <v>-0.005056</v>
      </c>
      <c r="Q39" s="29" t="n">
        <f aca="false">Q38*(1+P39)</f>
        <v>10282.9006974817</v>
      </c>
      <c r="R39" s="29" t="n">
        <f aca="false">MAX(R38,Q39)</f>
        <v>10335.1552423873</v>
      </c>
      <c r="S39" s="30" t="n">
        <f aca="false">Q39/R39-1</f>
        <v>-0.00505599999999984</v>
      </c>
      <c r="T39" s="31" t="n">
        <f aca="false">DATE(YEAR(F39),MONTH(F39),1)</f>
        <v>38838</v>
      </c>
    </row>
    <row r="40" customFormat="false" ht="15" hidden="false" customHeight="true" outlineLevel="0" collapsed="false">
      <c r="A40" s="4" t="n">
        <v>39</v>
      </c>
      <c r="B40" s="4" t="s">
        <v>27</v>
      </c>
      <c r="C40" s="4" t="s">
        <v>53</v>
      </c>
      <c r="D40" s="23" t="n">
        <v>38847.9166666667</v>
      </c>
      <c r="E40" s="23" t="n">
        <v>38847.9895833333</v>
      </c>
      <c r="F40" s="23" t="n">
        <v>38854.0104166667</v>
      </c>
      <c r="G40" s="4" t="n">
        <f aca="false">YEAR(E40)</f>
        <v>2006</v>
      </c>
      <c r="H40" s="4" t="str">
        <f aca="false">IF(E40&lt;DATE(2015,1,1),"2005–2014",IF(E40&lt;DATE(2022,3,5),"2015 – Mar 2022","Mar 2022 – Oct 2026"))</f>
        <v>2005–2014</v>
      </c>
      <c r="I40" s="24" t="n">
        <v>206.542</v>
      </c>
      <c r="J40" s="24" t="n">
        <v>205.876</v>
      </c>
      <c r="K40" s="24" t="n">
        <v>210.165</v>
      </c>
      <c r="L40" s="25" t="n">
        <v>5.439</v>
      </c>
      <c r="M40" s="26" t="n">
        <v>66.608</v>
      </c>
      <c r="N40" s="4" t="s">
        <v>35</v>
      </c>
      <c r="O40" s="27" t="n">
        <v>0.0338</v>
      </c>
      <c r="P40" s="28" t="n">
        <f aca="false">Summary!$C$6*O40</f>
        <v>0.000169</v>
      </c>
      <c r="Q40" s="29" t="n">
        <f aca="false">Q39*(1+P40)</f>
        <v>10284.6385076996</v>
      </c>
      <c r="R40" s="29" t="n">
        <f aca="false">MAX(R39,Q40)</f>
        <v>10335.1552423873</v>
      </c>
      <c r="S40" s="30" t="n">
        <f aca="false">Q40/R40-1</f>
        <v>-0.00488785446399975</v>
      </c>
      <c r="T40" s="31" t="n">
        <f aca="false">DATE(YEAR(F40),MONTH(F40),1)</f>
        <v>38838</v>
      </c>
    </row>
    <row r="41" customFormat="false" ht="15" hidden="false" customHeight="true" outlineLevel="0" collapsed="false">
      <c r="A41" s="4" t="n">
        <v>40</v>
      </c>
      <c r="B41" s="4" t="s">
        <v>28</v>
      </c>
      <c r="C41" s="4" t="s">
        <v>54</v>
      </c>
      <c r="D41" s="23" t="n">
        <v>38877.9166666667</v>
      </c>
      <c r="E41" s="23" t="n">
        <v>38879.78125</v>
      </c>
      <c r="F41" s="23" t="n">
        <v>38880.3541666667</v>
      </c>
      <c r="G41" s="4" t="n">
        <f aca="false">YEAR(E41)</f>
        <v>2006</v>
      </c>
      <c r="H41" s="4" t="str">
        <f aca="false">IF(E41&lt;DATE(2015,1,1),"2005–2014",IF(E41&lt;DATE(2022,3,5),"2015 – Mar 2022","Mar 2022 – Oct 2026"))</f>
        <v>2005–2014</v>
      </c>
      <c r="I41" s="24" t="n">
        <v>210.229</v>
      </c>
      <c r="J41" s="24" t="n">
        <v>210.781</v>
      </c>
      <c r="K41" s="24" t="n">
        <v>208.521</v>
      </c>
      <c r="L41" s="25" t="n">
        <v>3.093</v>
      </c>
      <c r="M41" s="26" t="n">
        <v>55.217</v>
      </c>
      <c r="N41" s="4" t="s">
        <v>34</v>
      </c>
      <c r="O41" s="27" t="n">
        <v>-1.0136</v>
      </c>
      <c r="P41" s="28" t="n">
        <f aca="false">Summary!$C$6*O41</f>
        <v>-0.005068</v>
      </c>
      <c r="Q41" s="29" t="n">
        <f aca="false">Q40*(1+P41)</f>
        <v>10232.5159597426</v>
      </c>
      <c r="R41" s="29" t="n">
        <f aca="false">MAX(R40,Q41)</f>
        <v>10335.1552423873</v>
      </c>
      <c r="S41" s="30" t="n">
        <f aca="false">Q41/R41-1</f>
        <v>-0.00993108281757626</v>
      </c>
      <c r="T41" s="31" t="n">
        <f aca="false">DATE(YEAR(F41),MONTH(F41),1)</f>
        <v>38869</v>
      </c>
    </row>
    <row r="42" customFormat="false" ht="15" hidden="false" customHeight="true" outlineLevel="0" collapsed="false">
      <c r="A42" s="4" t="n">
        <v>41</v>
      </c>
      <c r="B42" s="4" t="s">
        <v>27</v>
      </c>
      <c r="C42" s="4" t="s">
        <v>53</v>
      </c>
      <c r="D42" s="23" t="n">
        <v>38908.9166666667</v>
      </c>
      <c r="E42" s="23" t="n">
        <v>38909.3229166667</v>
      </c>
      <c r="F42" s="23" t="n">
        <v>38911.4375</v>
      </c>
      <c r="G42" s="4" t="n">
        <f aca="false">YEAR(E42)</f>
        <v>2006</v>
      </c>
      <c r="H42" s="4" t="str">
        <f aca="false">IF(E42&lt;DATE(2015,1,1),"2005–2014",IF(E42&lt;DATE(2022,3,5),"2015 – Mar 2022","Mar 2022 – Oct 2026"))</f>
        <v>2005–2014</v>
      </c>
      <c r="I42" s="24" t="n">
        <v>210.392</v>
      </c>
      <c r="J42" s="24" t="n">
        <v>209.87</v>
      </c>
      <c r="K42" s="24" t="n">
        <v>212.142</v>
      </c>
      <c r="L42" s="25" t="n">
        <v>3.351</v>
      </c>
      <c r="M42" s="26" t="n">
        <v>52.238</v>
      </c>
      <c r="N42" s="4" t="s">
        <v>33</v>
      </c>
      <c r="O42" s="27" t="n">
        <v>3.3506</v>
      </c>
      <c r="P42" s="28" t="n">
        <f aca="false">Summary!$C$6*O42</f>
        <v>0.016753</v>
      </c>
      <c r="Q42" s="29" t="n">
        <f aca="false">Q41*(1+P42)</f>
        <v>10403.9412996162</v>
      </c>
      <c r="R42" s="29" t="n">
        <f aca="false">MAX(R41,Q42)</f>
        <v>10403.9412996162</v>
      </c>
      <c r="S42" s="30" t="n">
        <f aca="false">Q42/R42-1</f>
        <v>0</v>
      </c>
      <c r="T42" s="31" t="n">
        <f aca="false">DATE(YEAR(F42),MONTH(F42),1)</f>
        <v>38899</v>
      </c>
    </row>
    <row r="43" customFormat="false" ht="15" hidden="false" customHeight="true" outlineLevel="0" collapsed="false">
      <c r="A43" s="4" t="n">
        <v>42</v>
      </c>
      <c r="B43" s="4" t="s">
        <v>28</v>
      </c>
      <c r="C43" s="4" t="s">
        <v>53</v>
      </c>
      <c r="D43" s="23" t="n">
        <v>39041.9166666667</v>
      </c>
      <c r="E43" s="23" t="n">
        <v>39044.3958333333</v>
      </c>
      <c r="F43" s="23" t="n">
        <v>39044.4479166667</v>
      </c>
      <c r="G43" s="4" t="n">
        <f aca="false">YEAR(E43)</f>
        <v>2006</v>
      </c>
      <c r="H43" s="4" t="str">
        <f aca="false">IF(E43&lt;DATE(2015,1,1),"2005–2014",IF(E43&lt;DATE(2022,3,5),"2015 – Mar 2022","Mar 2022 – Oct 2026"))</f>
        <v>2005–2014</v>
      </c>
      <c r="I43" s="24" t="n">
        <v>222.926</v>
      </c>
      <c r="J43" s="24" t="n">
        <v>222.527</v>
      </c>
      <c r="K43" s="24" t="n">
        <v>224.707</v>
      </c>
      <c r="L43" s="25" t="n">
        <v>4.465</v>
      </c>
      <c r="M43" s="26" t="n">
        <v>39.904</v>
      </c>
      <c r="N43" s="4" t="s">
        <v>34</v>
      </c>
      <c r="O43" s="27" t="n">
        <v>-1.0188</v>
      </c>
      <c r="P43" s="28" t="n">
        <f aca="false">Summary!$C$6*O43</f>
        <v>-0.005094</v>
      </c>
      <c r="Q43" s="29" t="n">
        <f aca="false">Q42*(1+P43)</f>
        <v>10350.9436226359</v>
      </c>
      <c r="R43" s="29" t="n">
        <f aca="false">MAX(R42,Q43)</f>
        <v>10403.9412996162</v>
      </c>
      <c r="S43" s="30" t="n">
        <f aca="false">Q43/R43-1</f>
        <v>-0.00509400000000004</v>
      </c>
      <c r="T43" s="31" t="n">
        <f aca="false">DATE(YEAR(F43),MONTH(F43),1)</f>
        <v>39022</v>
      </c>
    </row>
    <row r="44" customFormat="false" ht="15" hidden="false" customHeight="true" outlineLevel="0" collapsed="false">
      <c r="A44" s="4" t="n">
        <v>43</v>
      </c>
      <c r="B44" s="4" t="s">
        <v>28</v>
      </c>
      <c r="C44" s="4" t="s">
        <v>54</v>
      </c>
      <c r="D44" s="23" t="n">
        <v>39146.9166666667</v>
      </c>
      <c r="E44" s="23" t="n">
        <v>39147.0416666667</v>
      </c>
      <c r="F44" s="23" t="n">
        <v>39147.125</v>
      </c>
      <c r="G44" s="4" t="n">
        <f aca="false">YEAR(E44)</f>
        <v>2007</v>
      </c>
      <c r="H44" s="4" t="str">
        <f aca="false">IF(E44&lt;DATE(2015,1,1),"2005–2014",IF(E44&lt;DATE(2022,3,5),"2015 – Mar 2022","Mar 2022 – Oct 2026"))</f>
        <v>2005–2014</v>
      </c>
      <c r="I44" s="24" t="n">
        <v>223.456</v>
      </c>
      <c r="J44" s="24" t="n">
        <v>224.55</v>
      </c>
      <c r="K44" s="24" t="n">
        <v>220.027</v>
      </c>
      <c r="L44" s="25" t="n">
        <v>3.134</v>
      </c>
      <c r="M44" s="26" t="n">
        <v>109.393</v>
      </c>
      <c r="N44" s="4" t="s">
        <v>34</v>
      </c>
      <c r="O44" s="27" t="n">
        <v>-1.0069</v>
      </c>
      <c r="P44" s="28" t="n">
        <f aca="false">Summary!$C$6*O44</f>
        <v>-0.0050345</v>
      </c>
      <c r="Q44" s="29" t="n">
        <f aca="false">Q43*(1+P44)</f>
        <v>10298.8317969678</v>
      </c>
      <c r="R44" s="29" t="n">
        <f aca="false">MAX(R43,Q44)</f>
        <v>10403.9412996162</v>
      </c>
      <c r="S44" s="30" t="n">
        <f aca="false">Q44/R44-1</f>
        <v>-0.010102854257</v>
      </c>
      <c r="T44" s="31" t="n">
        <f aca="false">DATE(YEAR(F44),MONTH(F44),1)</f>
        <v>39142</v>
      </c>
    </row>
    <row r="45" customFormat="false" ht="15" hidden="false" customHeight="true" outlineLevel="0" collapsed="false">
      <c r="A45" s="4" t="n">
        <v>44</v>
      </c>
      <c r="B45" s="4" t="s">
        <v>28</v>
      </c>
      <c r="C45" s="4" t="s">
        <v>54</v>
      </c>
      <c r="D45" s="23" t="n">
        <v>39297.9166666667</v>
      </c>
      <c r="E45" s="23" t="n">
        <v>39300.8125</v>
      </c>
      <c r="F45" s="23" t="n">
        <v>39302.34375</v>
      </c>
      <c r="G45" s="4" t="n">
        <f aca="false">YEAR(E45)</f>
        <v>2007</v>
      </c>
      <c r="H45" s="4" t="str">
        <f aca="false">IF(E45&lt;DATE(2015,1,1),"2005–2014",IF(E45&lt;DATE(2022,3,5),"2015 – Mar 2022","Mar 2022 – Oct 2026"))</f>
        <v>2005–2014</v>
      </c>
      <c r="I45" s="24" t="n">
        <v>241.662</v>
      </c>
      <c r="J45" s="24" t="n">
        <v>242.656</v>
      </c>
      <c r="K45" s="24" t="n">
        <v>238.031</v>
      </c>
      <c r="L45" s="25" t="n">
        <v>3.656</v>
      </c>
      <c r="M45" s="26" t="n">
        <v>99.33</v>
      </c>
      <c r="N45" s="4" t="s">
        <v>35</v>
      </c>
      <c r="O45" s="27" t="n">
        <v>0.0227</v>
      </c>
      <c r="P45" s="28" t="n">
        <f aca="false">Summary!$C$6*O45</f>
        <v>0.0001135</v>
      </c>
      <c r="Q45" s="29" t="n">
        <f aca="false">Q44*(1+P45)</f>
        <v>10300.0007143767</v>
      </c>
      <c r="R45" s="29" t="n">
        <f aca="false">MAX(R44,Q45)</f>
        <v>10403.9412996162</v>
      </c>
      <c r="S45" s="30" t="n">
        <f aca="false">Q45/R45-1</f>
        <v>-0.0099905009309581</v>
      </c>
      <c r="T45" s="31" t="n">
        <f aca="false">DATE(YEAR(F45),MONTH(F45),1)</f>
        <v>39295</v>
      </c>
    </row>
    <row r="46" customFormat="false" ht="15" hidden="false" customHeight="true" outlineLevel="0" collapsed="false">
      <c r="A46" s="4" t="n">
        <v>45</v>
      </c>
      <c r="B46" s="4" t="s">
        <v>28</v>
      </c>
      <c r="C46" s="4" t="s">
        <v>53</v>
      </c>
      <c r="D46" s="23" t="n">
        <v>39302.9166666667</v>
      </c>
      <c r="E46" s="23" t="n">
        <v>39303.4479166667</v>
      </c>
      <c r="F46" s="23" t="n">
        <v>39303.5104166667</v>
      </c>
      <c r="G46" s="4" t="n">
        <f aca="false">YEAR(E46)</f>
        <v>2007</v>
      </c>
      <c r="H46" s="4" t="str">
        <f aca="false">IF(E46&lt;DATE(2015,1,1),"2005–2014",IF(E46&lt;DATE(2022,3,5),"2015 – Mar 2022","Mar 2022 – Oct 2026"))</f>
        <v>2005–2014</v>
      </c>
      <c r="I46" s="24" t="n">
        <v>241.042</v>
      </c>
      <c r="J46" s="24" t="n">
        <v>239.971</v>
      </c>
      <c r="K46" s="24" t="n">
        <v>245.378</v>
      </c>
      <c r="L46" s="25" t="n">
        <v>4.045</v>
      </c>
      <c r="M46" s="26" t="n">
        <v>107.188</v>
      </c>
      <c r="N46" s="4" t="s">
        <v>34</v>
      </c>
      <c r="O46" s="27" t="n">
        <v>-1.007</v>
      </c>
      <c r="P46" s="28" t="n">
        <f aca="false">Summary!$C$6*O46</f>
        <v>-0.005035</v>
      </c>
      <c r="Q46" s="29" t="n">
        <f aca="false">Q45*(1+P46)</f>
        <v>10248.1402107798</v>
      </c>
      <c r="R46" s="29" t="n">
        <f aca="false">MAX(R45,Q46)</f>
        <v>10403.9412996162</v>
      </c>
      <c r="S46" s="30" t="n">
        <f aca="false">Q46/R46-1</f>
        <v>-0.0149751987587707</v>
      </c>
      <c r="T46" s="31" t="n">
        <f aca="false">DATE(YEAR(F46),MONTH(F46),1)</f>
        <v>39295</v>
      </c>
    </row>
    <row r="47" customFormat="false" ht="15" hidden="false" customHeight="true" outlineLevel="0" collapsed="false">
      <c r="A47" s="4" t="n">
        <v>46</v>
      </c>
      <c r="B47" s="4" t="s">
        <v>27</v>
      </c>
      <c r="C47" s="4" t="s">
        <v>53</v>
      </c>
      <c r="D47" s="23" t="n">
        <v>39304.9166666667</v>
      </c>
      <c r="E47" s="23" t="n">
        <v>39306.9479166667</v>
      </c>
      <c r="F47" s="23" t="n">
        <v>39307.3020833333</v>
      </c>
      <c r="G47" s="4" t="n">
        <f aca="false">YEAR(E47)</f>
        <v>2007</v>
      </c>
      <c r="H47" s="4" t="str">
        <f aca="false">IF(E47&lt;DATE(2015,1,1),"2005–2014",IF(E47&lt;DATE(2022,3,5),"2015 – Mar 2022","Mar 2022 – Oct 2026"))</f>
        <v>2005–2014</v>
      </c>
      <c r="I47" s="24" t="n">
        <v>239.44</v>
      </c>
      <c r="J47" s="24" t="n">
        <v>238.254</v>
      </c>
      <c r="K47" s="24" t="n">
        <v>245.364</v>
      </c>
      <c r="L47" s="25" t="n">
        <v>4.994</v>
      </c>
      <c r="M47" s="26" t="n">
        <v>118.618</v>
      </c>
      <c r="N47" s="4" t="s">
        <v>34</v>
      </c>
      <c r="O47" s="27" t="n">
        <v>-1.0063</v>
      </c>
      <c r="P47" s="28" t="n">
        <f aca="false">Summary!$C$6*O47</f>
        <v>-0.0050315</v>
      </c>
      <c r="Q47" s="29" t="n">
        <f aca="false">Q46*(1+P47)</f>
        <v>10196.5766933093</v>
      </c>
      <c r="R47" s="29" t="n">
        <f aca="false">MAX(R46,Q47)</f>
        <v>10403.9412996162</v>
      </c>
      <c r="S47" s="30" t="n">
        <f aca="false">Q47/R47-1</f>
        <v>-0.0199313510462159</v>
      </c>
      <c r="T47" s="31" t="n">
        <f aca="false">DATE(YEAR(F47),MONTH(F47),1)</f>
        <v>39295</v>
      </c>
    </row>
    <row r="48" customFormat="false" ht="15" hidden="false" customHeight="true" outlineLevel="0" collapsed="false">
      <c r="A48" s="4" t="n">
        <v>47</v>
      </c>
      <c r="B48" s="4" t="s">
        <v>28</v>
      </c>
      <c r="C48" s="4" t="s">
        <v>54</v>
      </c>
      <c r="D48" s="23" t="n">
        <v>39315.9166666667</v>
      </c>
      <c r="E48" s="23" t="n">
        <v>39316.5625</v>
      </c>
      <c r="F48" s="23" t="n">
        <v>39316.9583333333</v>
      </c>
      <c r="G48" s="4" t="n">
        <f aca="false">YEAR(E48)</f>
        <v>2007</v>
      </c>
      <c r="H48" s="4" t="str">
        <f aca="false">IF(E48&lt;DATE(2015,1,1),"2005–2014",IF(E48&lt;DATE(2022,3,5),"2015 – Mar 2022","Mar 2022 – Oct 2026"))</f>
        <v>2005–2014</v>
      </c>
      <c r="I48" s="24" t="n">
        <v>229.393</v>
      </c>
      <c r="J48" s="24" t="n">
        <v>230.989</v>
      </c>
      <c r="K48" s="24" t="n">
        <v>224.245</v>
      </c>
      <c r="L48" s="25" t="n">
        <v>3.224</v>
      </c>
      <c r="M48" s="26" t="n">
        <v>159.679</v>
      </c>
      <c r="N48" s="4" t="s">
        <v>34</v>
      </c>
      <c r="O48" s="27" t="n">
        <v>-1.0047</v>
      </c>
      <c r="P48" s="28" t="n">
        <f aca="false">Summary!$C$6*O48</f>
        <v>-0.0050235</v>
      </c>
      <c r="Q48" s="29" t="n">
        <f aca="false">Q47*(1+P48)</f>
        <v>10145.3541902905</v>
      </c>
      <c r="R48" s="29" t="n">
        <f aca="false">MAX(R47,Q48)</f>
        <v>10403.9412996162</v>
      </c>
      <c r="S48" s="30" t="n">
        <f aca="false">Q48/R48-1</f>
        <v>-0.0248547259042352</v>
      </c>
      <c r="T48" s="31" t="n">
        <f aca="false">DATE(YEAR(F48),MONTH(F48),1)</f>
        <v>39295</v>
      </c>
    </row>
    <row r="49" customFormat="false" ht="15" hidden="false" customHeight="true" outlineLevel="0" collapsed="false">
      <c r="A49" s="4" t="n">
        <v>48</v>
      </c>
      <c r="B49" s="4" t="s">
        <v>28</v>
      </c>
      <c r="C49" s="4" t="s">
        <v>54</v>
      </c>
      <c r="D49" s="23" t="n">
        <v>39324.9166666667</v>
      </c>
      <c r="E49" s="23" t="n">
        <v>39325.28125</v>
      </c>
      <c r="F49" s="23" t="n">
        <v>39329.9791666667</v>
      </c>
      <c r="G49" s="4" t="n">
        <f aca="false">YEAR(E49)</f>
        <v>2007</v>
      </c>
      <c r="H49" s="4" t="str">
        <f aca="false">IF(E49&lt;DATE(2015,1,1),"2005–2014",IF(E49&lt;DATE(2022,3,5),"2015 – Mar 2022","Mar 2022 – Oct 2026"))</f>
        <v>2005–2014</v>
      </c>
      <c r="I49" s="24" t="n">
        <v>234.756</v>
      </c>
      <c r="J49" s="24" t="n">
        <v>236.441</v>
      </c>
      <c r="K49" s="24" t="n">
        <v>229.565</v>
      </c>
      <c r="L49" s="25" t="n">
        <v>3.082</v>
      </c>
      <c r="M49" s="26" t="n">
        <v>168.417</v>
      </c>
      <c r="N49" s="4" t="s">
        <v>35</v>
      </c>
      <c r="O49" s="27" t="n">
        <v>0.0134</v>
      </c>
      <c r="P49" s="28" t="n">
        <f aca="false">Summary!$C$6*O49</f>
        <v>6.7E-005</v>
      </c>
      <c r="Q49" s="29" t="n">
        <f aca="false">Q48*(1+P49)</f>
        <v>10146.0339290212</v>
      </c>
      <c r="R49" s="29" t="n">
        <f aca="false">MAX(R48,Q49)</f>
        <v>10403.9412996162</v>
      </c>
      <c r="S49" s="30" t="n">
        <f aca="false">Q49/R49-1</f>
        <v>-0.0247893911708706</v>
      </c>
      <c r="T49" s="31" t="n">
        <f aca="false">DATE(YEAR(F49),MONTH(F49),1)</f>
        <v>39326</v>
      </c>
    </row>
    <row r="50" customFormat="false" ht="15" hidden="false" customHeight="true" outlineLevel="0" collapsed="false">
      <c r="A50" s="4" t="n">
        <v>49</v>
      </c>
      <c r="B50" s="4" t="s">
        <v>27</v>
      </c>
      <c r="C50" s="4" t="s">
        <v>54</v>
      </c>
      <c r="D50" s="23" t="n">
        <v>39339.9166666667</v>
      </c>
      <c r="E50" s="23" t="n">
        <v>39341.9270833333</v>
      </c>
      <c r="F50" s="23" t="n">
        <v>39343.5208333333</v>
      </c>
      <c r="G50" s="4" t="n">
        <f aca="false">YEAR(E50)</f>
        <v>2007</v>
      </c>
      <c r="H50" s="4" t="str">
        <f aca="false">IF(E50&lt;DATE(2015,1,1),"2005–2014",IF(E50&lt;DATE(2022,3,5),"2015 – Mar 2022","Mar 2022 – Oct 2026"))</f>
        <v>2005–2014</v>
      </c>
      <c r="I50" s="24" t="n">
        <v>230.96</v>
      </c>
      <c r="J50" s="24" t="n">
        <v>232.36</v>
      </c>
      <c r="K50" s="24" t="n">
        <v>226.575</v>
      </c>
      <c r="L50" s="25" t="n">
        <v>3.132</v>
      </c>
      <c r="M50" s="26" t="n">
        <v>140.032</v>
      </c>
      <c r="N50" s="4" t="s">
        <v>35</v>
      </c>
      <c r="O50" s="27" t="n">
        <v>0.0161</v>
      </c>
      <c r="P50" s="28" t="n">
        <f aca="false">Summary!$C$6*O50</f>
        <v>8.05E-005</v>
      </c>
      <c r="Q50" s="29" t="n">
        <f aca="false">Q49*(1+P50)</f>
        <v>10146.8506847525</v>
      </c>
      <c r="R50" s="29" t="n">
        <f aca="false">MAX(R49,Q50)</f>
        <v>10403.9412996162</v>
      </c>
      <c r="S50" s="30" t="n">
        <f aca="false">Q50/R50-1</f>
        <v>-0.0247108867168598</v>
      </c>
      <c r="T50" s="31" t="n">
        <f aca="false">DATE(YEAR(F50),MONTH(F50),1)</f>
        <v>39326</v>
      </c>
    </row>
    <row r="51" customFormat="false" ht="15" hidden="false" customHeight="true" outlineLevel="0" collapsed="false">
      <c r="A51" s="4" t="n">
        <v>50</v>
      </c>
      <c r="B51" s="4" t="s">
        <v>28</v>
      </c>
      <c r="C51" s="4" t="s">
        <v>53</v>
      </c>
      <c r="D51" s="23" t="n">
        <v>39352.9166666667</v>
      </c>
      <c r="E51" s="23" t="n">
        <v>39353.2291666667</v>
      </c>
      <c r="F51" s="23" t="n">
        <v>39356.5625</v>
      </c>
      <c r="G51" s="4" t="n">
        <f aca="false">YEAR(E51)</f>
        <v>2007</v>
      </c>
      <c r="H51" s="4" t="str">
        <f aca="false">IF(E51&lt;DATE(2015,1,1),"2005–2014",IF(E51&lt;DATE(2022,3,5),"2015 – Mar 2022","Mar 2022 – Oct 2026"))</f>
        <v>2005–2014</v>
      </c>
      <c r="I51" s="24" t="n">
        <v>232.715</v>
      </c>
      <c r="J51" s="24" t="n">
        <v>231.509</v>
      </c>
      <c r="K51" s="24" t="n">
        <v>236.763</v>
      </c>
      <c r="L51" s="25" t="n">
        <v>3.356</v>
      </c>
      <c r="M51" s="26" t="n">
        <v>120.624</v>
      </c>
      <c r="N51" s="4" t="s">
        <v>33</v>
      </c>
      <c r="O51" s="27" t="n">
        <v>3.3557</v>
      </c>
      <c r="P51" s="28" t="n">
        <f aca="false">Summary!$C$6*O51</f>
        <v>0.0167785</v>
      </c>
      <c r="Q51" s="29" t="n">
        <f aca="false">Q50*(1+P51)</f>
        <v>10317.0996189666</v>
      </c>
      <c r="R51" s="29" t="n">
        <f aca="false">MAX(R50,Q51)</f>
        <v>10403.9412996162</v>
      </c>
      <c r="S51" s="30" t="n">
        <f aca="false">Q51/R51-1</f>
        <v>-0.0083469983296387</v>
      </c>
      <c r="T51" s="31" t="n">
        <f aca="false">DATE(YEAR(F51),MONTH(F51),1)</f>
        <v>39356</v>
      </c>
    </row>
    <row r="52" customFormat="false" ht="15" hidden="false" customHeight="true" outlineLevel="0" collapsed="false">
      <c r="A52" s="4" t="n">
        <v>51</v>
      </c>
      <c r="B52" s="4" t="s">
        <v>28</v>
      </c>
      <c r="C52" s="4" t="s">
        <v>54</v>
      </c>
      <c r="D52" s="23" t="n">
        <v>39366.9166666667</v>
      </c>
      <c r="E52" s="23" t="n">
        <v>39370.28125</v>
      </c>
      <c r="F52" s="23" t="n">
        <v>39370.4479166667</v>
      </c>
      <c r="G52" s="4" t="n">
        <f aca="false">YEAR(E52)</f>
        <v>2007</v>
      </c>
      <c r="H52" s="4" t="str">
        <f aca="false">IF(E52&lt;DATE(2015,1,1),"2005–2014",IF(E52&lt;DATE(2022,3,5),"2015 – Mar 2022","Mar 2022 – Oct 2026"))</f>
        <v>2005–2014</v>
      </c>
      <c r="I52" s="24" t="n">
        <v>239.53</v>
      </c>
      <c r="J52" s="24" t="n">
        <v>240.533</v>
      </c>
      <c r="K52" s="24" t="n">
        <v>236.027</v>
      </c>
      <c r="L52" s="25" t="n">
        <v>3.494</v>
      </c>
      <c r="M52" s="26" t="n">
        <v>100.263</v>
      </c>
      <c r="N52" s="4" t="s">
        <v>34</v>
      </c>
      <c r="O52" s="27" t="n">
        <v>-1.0075</v>
      </c>
      <c r="P52" s="28" t="n">
        <f aca="false">Summary!$C$6*O52</f>
        <v>-0.0050375</v>
      </c>
      <c r="Q52" s="29" t="n">
        <f aca="false">Q51*(1+P52)</f>
        <v>10265.1272296361</v>
      </c>
      <c r="R52" s="29" t="n">
        <f aca="false">MAX(R51,Q52)</f>
        <v>10403.9412996162</v>
      </c>
      <c r="S52" s="30" t="n">
        <f aca="false">Q52/R52-1</f>
        <v>-0.0133424503255533</v>
      </c>
      <c r="T52" s="31" t="n">
        <f aca="false">DATE(YEAR(F52),MONTH(F52),1)</f>
        <v>39356</v>
      </c>
    </row>
    <row r="53" customFormat="false" ht="15" hidden="false" customHeight="true" outlineLevel="0" collapsed="false">
      <c r="A53" s="4" t="n">
        <v>52</v>
      </c>
      <c r="B53" s="4" t="s">
        <v>28</v>
      </c>
      <c r="C53" s="4" t="s">
        <v>53</v>
      </c>
      <c r="D53" s="23" t="n">
        <v>39370.9166666667</v>
      </c>
      <c r="E53" s="23" t="n">
        <v>39371.2916666667</v>
      </c>
      <c r="F53" s="23" t="n">
        <v>39371.3020833333</v>
      </c>
      <c r="G53" s="4" t="n">
        <f aca="false">YEAR(E53)</f>
        <v>2007</v>
      </c>
      <c r="H53" s="4" t="str">
        <f aca="false">IF(E53&lt;DATE(2015,1,1),"2005–2014",IF(E53&lt;DATE(2022,3,5),"2015 – Mar 2022","Mar 2022 – Oct 2026"))</f>
        <v>2005–2014</v>
      </c>
      <c r="I53" s="24" t="n">
        <v>239.18</v>
      </c>
      <c r="J53" s="24" t="n">
        <v>238.273</v>
      </c>
      <c r="K53" s="24" t="n">
        <v>242.254</v>
      </c>
      <c r="L53" s="25" t="n">
        <v>3.389</v>
      </c>
      <c r="M53" s="26" t="n">
        <v>90.716</v>
      </c>
      <c r="N53" s="4" t="s">
        <v>34</v>
      </c>
      <c r="O53" s="27" t="n">
        <v>-1.0083</v>
      </c>
      <c r="P53" s="28" t="n">
        <f aca="false">Summary!$C$6*O53</f>
        <v>-0.0050415</v>
      </c>
      <c r="Q53" s="29" t="n">
        <f aca="false">Q52*(1+P53)</f>
        <v>10213.3755907079</v>
      </c>
      <c r="R53" s="29" t="n">
        <f aca="false">MAX(R52,Q53)</f>
        <v>10403.9412996162</v>
      </c>
      <c r="S53" s="30" t="n">
        <f aca="false">Q53/R53-1</f>
        <v>-0.018316684362237</v>
      </c>
      <c r="T53" s="31" t="n">
        <f aca="false">DATE(YEAR(F53),MONTH(F53),1)</f>
        <v>39356</v>
      </c>
    </row>
    <row r="54" customFormat="false" ht="15" hidden="false" customHeight="true" outlineLevel="0" collapsed="false">
      <c r="A54" s="4" t="n">
        <v>53</v>
      </c>
      <c r="B54" s="4" t="s">
        <v>28</v>
      </c>
      <c r="C54" s="4" t="s">
        <v>53</v>
      </c>
      <c r="D54" s="23" t="n">
        <v>39378.9166666667</v>
      </c>
      <c r="E54" s="23" t="n">
        <v>39379.2083333333</v>
      </c>
      <c r="F54" s="23" t="n">
        <v>39379.6354166667</v>
      </c>
      <c r="G54" s="4" t="n">
        <f aca="false">YEAR(E54)</f>
        <v>2007</v>
      </c>
      <c r="H54" s="4" t="str">
        <f aca="false">IF(E54&lt;DATE(2015,1,1),"2005–2014",IF(E54&lt;DATE(2022,3,5),"2015 – Mar 2022","Mar 2022 – Oct 2026"))</f>
        <v>2005–2014</v>
      </c>
      <c r="I54" s="24" t="n">
        <v>234.088</v>
      </c>
      <c r="J54" s="24" t="n">
        <v>233.04</v>
      </c>
      <c r="K54" s="24" t="n">
        <v>237.782</v>
      </c>
      <c r="L54" s="25" t="n">
        <v>3.526</v>
      </c>
      <c r="M54" s="26" t="n">
        <v>104.777</v>
      </c>
      <c r="N54" s="4" t="s">
        <v>34</v>
      </c>
      <c r="O54" s="27" t="n">
        <v>-1.0072</v>
      </c>
      <c r="P54" s="28" t="n">
        <f aca="false">Summary!$C$6*O54</f>
        <v>-0.005036</v>
      </c>
      <c r="Q54" s="29" t="n">
        <f aca="false">Q53*(1+P54)</f>
        <v>10161.9410312331</v>
      </c>
      <c r="R54" s="29" t="n">
        <f aca="false">MAX(R53,Q54)</f>
        <v>10403.9412996162</v>
      </c>
      <c r="S54" s="30" t="n">
        <f aca="false">Q54/R54-1</f>
        <v>-0.0232604415397887</v>
      </c>
      <c r="T54" s="31" t="n">
        <f aca="false">DATE(YEAR(F54),MONTH(F54),1)</f>
        <v>39356</v>
      </c>
    </row>
    <row r="55" customFormat="false" ht="15" hidden="false" customHeight="true" outlineLevel="0" collapsed="false">
      <c r="A55" s="4" t="n">
        <v>54</v>
      </c>
      <c r="B55" s="4" t="s">
        <v>27</v>
      </c>
      <c r="C55" s="4" t="s">
        <v>53</v>
      </c>
      <c r="D55" s="23" t="n">
        <v>39379.9166666667</v>
      </c>
      <c r="E55" s="23" t="n">
        <v>39380.28125</v>
      </c>
      <c r="F55" s="23" t="n">
        <v>39380.71875</v>
      </c>
      <c r="G55" s="4" t="n">
        <f aca="false">YEAR(E55)</f>
        <v>2007</v>
      </c>
      <c r="H55" s="4" t="str">
        <f aca="false">IF(E55&lt;DATE(2015,1,1),"2005–2014",IF(E55&lt;DATE(2022,3,5),"2015 – Mar 2022","Mar 2022 – Oct 2026"))</f>
        <v>2005–2014</v>
      </c>
      <c r="I55" s="24" t="n">
        <v>233.403</v>
      </c>
      <c r="J55" s="24" t="n">
        <v>232.345</v>
      </c>
      <c r="K55" s="24" t="n">
        <v>236.781</v>
      </c>
      <c r="L55" s="25" t="n">
        <v>3.193</v>
      </c>
      <c r="M55" s="26" t="n">
        <v>105.78</v>
      </c>
      <c r="N55" s="4" t="s">
        <v>35</v>
      </c>
      <c r="O55" s="27" t="n">
        <v>0.0213</v>
      </c>
      <c r="P55" s="28" t="n">
        <f aca="false">Summary!$C$6*O55</f>
        <v>0.0001065</v>
      </c>
      <c r="Q55" s="29" t="n">
        <f aca="false">Q54*(1+P55)</f>
        <v>10163.0232779529</v>
      </c>
      <c r="R55" s="29" t="n">
        <f aca="false">MAX(R54,Q55)</f>
        <v>10403.9412996162</v>
      </c>
      <c r="S55" s="30" t="n">
        <f aca="false">Q55/R55-1</f>
        <v>-0.0231564187768126</v>
      </c>
      <c r="T55" s="31" t="n">
        <f aca="false">DATE(YEAR(F55),MONTH(F55),1)</f>
        <v>39356</v>
      </c>
    </row>
    <row r="56" customFormat="false" ht="15" hidden="false" customHeight="true" outlineLevel="0" collapsed="false">
      <c r="A56" s="4" t="n">
        <v>55</v>
      </c>
      <c r="B56" s="4" t="s">
        <v>27</v>
      </c>
      <c r="C56" s="4" t="s">
        <v>54</v>
      </c>
      <c r="D56" s="23" t="n">
        <v>39380.9166666667</v>
      </c>
      <c r="E56" s="23" t="n">
        <v>39381.4166666667</v>
      </c>
      <c r="F56" s="23" t="n">
        <v>39384.4583333333</v>
      </c>
      <c r="G56" s="4" t="n">
        <f aca="false">YEAR(E56)</f>
        <v>2007</v>
      </c>
      <c r="H56" s="4" t="str">
        <f aca="false">IF(E56&lt;DATE(2015,1,1),"2005–2014",IF(E56&lt;DATE(2022,3,5),"2015 – Mar 2022","Mar 2022 – Oct 2026"))</f>
        <v>2005–2014</v>
      </c>
      <c r="I56" s="24" t="n">
        <v>234.958</v>
      </c>
      <c r="J56" s="24" t="n">
        <v>236.002</v>
      </c>
      <c r="K56" s="24" t="n">
        <v>231.411</v>
      </c>
      <c r="L56" s="25" t="n">
        <v>3.398</v>
      </c>
      <c r="M56" s="26" t="n">
        <v>104.366</v>
      </c>
      <c r="N56" s="4" t="s">
        <v>34</v>
      </c>
      <c r="O56" s="27" t="n">
        <v>-1.0072</v>
      </c>
      <c r="P56" s="28" t="n">
        <f aca="false">Summary!$C$6*O56</f>
        <v>-0.005036</v>
      </c>
      <c r="Q56" s="29" t="n">
        <f aca="false">Q55*(1+P56)</f>
        <v>10111.8422927251</v>
      </c>
      <c r="R56" s="29" t="n">
        <f aca="false">MAX(R55,Q56)</f>
        <v>10403.9412996162</v>
      </c>
      <c r="S56" s="30" t="n">
        <f aca="false">Q56/R56-1</f>
        <v>-0.0280758030518526</v>
      </c>
      <c r="T56" s="31" t="n">
        <f aca="false">DATE(YEAR(F56),MONTH(F56),1)</f>
        <v>39356</v>
      </c>
    </row>
    <row r="57" customFormat="false" ht="15" hidden="false" customHeight="true" outlineLevel="0" collapsed="false">
      <c r="A57" s="4" t="n">
        <v>56</v>
      </c>
      <c r="B57" s="4" t="s">
        <v>28</v>
      </c>
      <c r="C57" s="4" t="s">
        <v>53</v>
      </c>
      <c r="D57" s="23" t="n">
        <v>39386.9166666667</v>
      </c>
      <c r="E57" s="23" t="n">
        <v>39387.5729166667</v>
      </c>
      <c r="F57" s="23" t="n">
        <v>39387.7395833333</v>
      </c>
      <c r="G57" s="4" t="n">
        <f aca="false">YEAR(E57)</f>
        <v>2007</v>
      </c>
      <c r="H57" s="4" t="str">
        <f aca="false">IF(E57&lt;DATE(2015,1,1),"2005–2014",IF(E57&lt;DATE(2022,3,5),"2015 – Mar 2022","Mar 2022 – Oct 2026"))</f>
        <v>2005–2014</v>
      </c>
      <c r="I57" s="24" t="n">
        <v>238.775</v>
      </c>
      <c r="J57" s="24" t="n">
        <v>237.732</v>
      </c>
      <c r="K57" s="24" t="n">
        <v>242.238</v>
      </c>
      <c r="L57" s="25" t="n">
        <v>3.319</v>
      </c>
      <c r="M57" s="26" t="n">
        <v>104.313</v>
      </c>
      <c r="N57" s="4" t="s">
        <v>35</v>
      </c>
      <c r="O57" s="27" t="n">
        <v>0.0216</v>
      </c>
      <c r="P57" s="28" t="n">
        <f aca="false">Summary!$C$6*O57</f>
        <v>0.000108</v>
      </c>
      <c r="Q57" s="29" t="n">
        <f aca="false">Q56*(1+P57)</f>
        <v>10112.9343716927</v>
      </c>
      <c r="R57" s="29" t="n">
        <f aca="false">MAX(R56,Q57)</f>
        <v>10403.9412996162</v>
      </c>
      <c r="S57" s="30" t="n">
        <f aca="false">Q57/R57-1</f>
        <v>-0.0279708352385822</v>
      </c>
      <c r="T57" s="31" t="n">
        <f aca="false">DATE(YEAR(F57),MONTH(F57),1)</f>
        <v>39387</v>
      </c>
    </row>
    <row r="58" customFormat="false" ht="15" hidden="false" customHeight="true" outlineLevel="0" collapsed="false">
      <c r="A58" s="4" t="n">
        <v>57</v>
      </c>
      <c r="B58" s="4" t="s">
        <v>28</v>
      </c>
      <c r="C58" s="4" t="s">
        <v>53</v>
      </c>
      <c r="D58" s="23" t="n">
        <v>39388.9166666667</v>
      </c>
      <c r="E58" s="23" t="n">
        <v>39391.0104166667</v>
      </c>
      <c r="F58" s="23" t="n">
        <v>39391.4166666667</v>
      </c>
      <c r="G58" s="4" t="n">
        <f aca="false">YEAR(E58)</f>
        <v>2007</v>
      </c>
      <c r="H58" s="4" t="str">
        <f aca="false">IF(E58&lt;DATE(2015,1,1),"2005–2014",IF(E58&lt;DATE(2022,3,5),"2015 – Mar 2022","Mar 2022 – Oct 2026"))</f>
        <v>2005–2014</v>
      </c>
      <c r="I58" s="24" t="n">
        <v>238.791</v>
      </c>
      <c r="J58" s="24" t="n">
        <v>237.719</v>
      </c>
      <c r="K58" s="24" t="n">
        <v>242.234</v>
      </c>
      <c r="L58" s="25" t="n">
        <v>3.213</v>
      </c>
      <c r="M58" s="26" t="n">
        <v>107.175</v>
      </c>
      <c r="N58" s="4" t="s">
        <v>34</v>
      </c>
      <c r="O58" s="27" t="n">
        <v>-1.007</v>
      </c>
      <c r="P58" s="28" t="n">
        <f aca="false">Summary!$C$6*O58</f>
        <v>-0.005035</v>
      </c>
      <c r="Q58" s="29" t="n">
        <f aca="false">Q57*(1+P58)</f>
        <v>10062.0157471313</v>
      </c>
      <c r="R58" s="29" t="n">
        <f aca="false">MAX(R57,Q58)</f>
        <v>10403.9412996162</v>
      </c>
      <c r="S58" s="30" t="n">
        <f aca="false">Q58/R58-1</f>
        <v>-0.032865002083156</v>
      </c>
      <c r="T58" s="31" t="n">
        <f aca="false">DATE(YEAR(F58),MONTH(F58),1)</f>
        <v>39387</v>
      </c>
    </row>
    <row r="59" customFormat="false" ht="15" hidden="false" customHeight="true" outlineLevel="0" collapsed="false">
      <c r="A59" s="4" t="n">
        <v>58</v>
      </c>
      <c r="B59" s="4" t="s">
        <v>27</v>
      </c>
      <c r="C59" s="4" t="s">
        <v>54</v>
      </c>
      <c r="D59" s="23" t="n">
        <v>39394.9166666667</v>
      </c>
      <c r="E59" s="23" t="n">
        <v>39395.1354166667</v>
      </c>
      <c r="F59" s="23" t="n">
        <v>39395.4791666667</v>
      </c>
      <c r="G59" s="4" t="n">
        <f aca="false">YEAR(E59)</f>
        <v>2007</v>
      </c>
      <c r="H59" s="4" t="str">
        <f aca="false">IF(E59&lt;DATE(2015,1,1),"2005–2014",IF(E59&lt;DATE(2022,3,5),"2015 – Mar 2022","Mar 2022 – Oct 2026"))</f>
        <v>2005–2014</v>
      </c>
      <c r="I59" s="24" t="n">
        <v>237.3</v>
      </c>
      <c r="J59" s="24" t="n">
        <v>238.403</v>
      </c>
      <c r="K59" s="24" t="n">
        <v>233.721</v>
      </c>
      <c r="L59" s="25" t="n">
        <v>3.245</v>
      </c>
      <c r="M59" s="26" t="n">
        <v>110.295</v>
      </c>
      <c r="N59" s="4" t="s">
        <v>33</v>
      </c>
      <c r="O59" s="27" t="n">
        <v>3.2454</v>
      </c>
      <c r="P59" s="28" t="n">
        <f aca="false">Summary!$C$6*O59</f>
        <v>0.016227</v>
      </c>
      <c r="Q59" s="29" t="n">
        <f aca="false">Q58*(1+P59)</f>
        <v>10225.2920766599</v>
      </c>
      <c r="R59" s="29" t="n">
        <f aca="false">MAX(R58,Q59)</f>
        <v>10403.9412996162</v>
      </c>
      <c r="S59" s="30" t="n">
        <f aca="false">Q59/R59-1</f>
        <v>-0.0171713024719593</v>
      </c>
      <c r="T59" s="31" t="n">
        <f aca="false">DATE(YEAR(F59),MONTH(F59),1)</f>
        <v>39387</v>
      </c>
    </row>
    <row r="60" customFormat="false" ht="15" hidden="false" customHeight="true" outlineLevel="0" collapsed="false">
      <c r="A60" s="4" t="n">
        <v>59</v>
      </c>
      <c r="B60" s="4" t="s">
        <v>28</v>
      </c>
      <c r="C60" s="4" t="s">
        <v>53</v>
      </c>
      <c r="D60" s="23" t="n">
        <v>39413.9166666667</v>
      </c>
      <c r="E60" s="23" t="n">
        <v>39414.0520833333</v>
      </c>
      <c r="F60" s="23" t="n">
        <v>39414.71875</v>
      </c>
      <c r="G60" s="4" t="n">
        <f aca="false">YEAR(E60)</f>
        <v>2007</v>
      </c>
      <c r="H60" s="4" t="str">
        <f aca="false">IF(E60&lt;DATE(2015,1,1),"2005–2014",IF(E60&lt;DATE(2022,3,5),"2015 – Mar 2022","Mar 2022 – Oct 2026"))</f>
        <v>2005–2014</v>
      </c>
      <c r="I60" s="24" t="n">
        <v>224.096</v>
      </c>
      <c r="J60" s="24" t="n">
        <v>222.672</v>
      </c>
      <c r="K60" s="24" t="n">
        <v>228.519</v>
      </c>
      <c r="L60" s="25" t="n">
        <v>3.108</v>
      </c>
      <c r="M60" s="26" t="n">
        <v>142.338</v>
      </c>
      <c r="N60" s="4" t="s">
        <v>33</v>
      </c>
      <c r="O60" s="27" t="n">
        <v>3.108</v>
      </c>
      <c r="P60" s="28" t="n">
        <f aca="false">Summary!$C$6*O60</f>
        <v>0.01554</v>
      </c>
      <c r="Q60" s="29" t="n">
        <f aca="false">Q59*(1+P60)</f>
        <v>10384.1931155312</v>
      </c>
      <c r="R60" s="29" t="n">
        <f aca="false">MAX(R59,Q60)</f>
        <v>10403.9412996162</v>
      </c>
      <c r="S60" s="30" t="n">
        <f aca="false">Q60/R60-1</f>
        <v>-0.00189814451237358</v>
      </c>
      <c r="T60" s="31" t="n">
        <f aca="false">DATE(YEAR(F60),MONTH(F60),1)</f>
        <v>39387</v>
      </c>
    </row>
    <row r="61" customFormat="false" ht="15" hidden="false" customHeight="true" outlineLevel="0" collapsed="false">
      <c r="A61" s="4" t="n">
        <v>60</v>
      </c>
      <c r="B61" s="4" t="s">
        <v>27</v>
      </c>
      <c r="C61" s="4" t="s">
        <v>53</v>
      </c>
      <c r="D61" s="23" t="n">
        <v>39422.9166666667</v>
      </c>
      <c r="E61" s="23" t="n">
        <v>39423.0104166667</v>
      </c>
      <c r="F61" s="23" t="n">
        <v>39427.8125</v>
      </c>
      <c r="G61" s="4" t="n">
        <f aca="false">YEAR(E61)</f>
        <v>2007</v>
      </c>
      <c r="H61" s="4" t="str">
        <f aca="false">IF(E61&lt;DATE(2015,1,1),"2005–2014",IF(E61&lt;DATE(2022,3,5),"2015 – Mar 2022","Mar 2022 – Oct 2026"))</f>
        <v>2005–2014</v>
      </c>
      <c r="I61" s="24" t="n">
        <v>225.776</v>
      </c>
      <c r="J61" s="24" t="n">
        <v>224.48</v>
      </c>
      <c r="K61" s="24" t="n">
        <v>229.943</v>
      </c>
      <c r="L61" s="25" t="n">
        <v>3.214</v>
      </c>
      <c r="M61" s="26" t="n">
        <v>129.642</v>
      </c>
      <c r="N61" s="4" t="s">
        <v>35</v>
      </c>
      <c r="O61" s="27" t="n">
        <v>0.0174</v>
      </c>
      <c r="P61" s="28" t="n">
        <f aca="false">Summary!$C$6*O61</f>
        <v>8.7E-005</v>
      </c>
      <c r="Q61" s="29" t="n">
        <f aca="false">Q60*(1+P61)</f>
        <v>10385.0965403323</v>
      </c>
      <c r="R61" s="29" t="n">
        <f aca="false">MAX(R60,Q61)</f>
        <v>10403.9412996162</v>
      </c>
      <c r="S61" s="30" t="n">
        <f aca="false">Q61/R61-1</f>
        <v>-0.00181130965094622</v>
      </c>
      <c r="T61" s="31" t="n">
        <f aca="false">DATE(YEAR(F61),MONTH(F61),1)</f>
        <v>39417</v>
      </c>
    </row>
    <row r="62" customFormat="false" ht="15" hidden="false" customHeight="true" outlineLevel="0" collapsed="false">
      <c r="A62" s="4" t="n">
        <v>61</v>
      </c>
      <c r="B62" s="4" t="s">
        <v>27</v>
      </c>
      <c r="C62" s="4" t="s">
        <v>54</v>
      </c>
      <c r="D62" s="23" t="n">
        <v>39430.9166666667</v>
      </c>
      <c r="E62" s="23" t="n">
        <v>39432.9895833333</v>
      </c>
      <c r="F62" s="23" t="n">
        <v>39436.625</v>
      </c>
      <c r="G62" s="4" t="n">
        <f aca="false">YEAR(E62)</f>
        <v>2007</v>
      </c>
      <c r="H62" s="4" t="str">
        <f aca="false">IF(E62&lt;DATE(2015,1,1),"2005–2014",IF(E62&lt;DATE(2022,3,5),"2015 – Mar 2022","Mar 2022 – Oct 2026"))</f>
        <v>2005–2014</v>
      </c>
      <c r="I62" s="24" t="n">
        <v>228.385</v>
      </c>
      <c r="J62" s="24" t="n">
        <v>229.686</v>
      </c>
      <c r="K62" s="24" t="n">
        <v>224.209</v>
      </c>
      <c r="L62" s="25" t="n">
        <v>3.209</v>
      </c>
      <c r="M62" s="26" t="n">
        <v>130.146</v>
      </c>
      <c r="N62" s="4" t="s">
        <v>33</v>
      </c>
      <c r="O62" s="27" t="n">
        <v>3.2089</v>
      </c>
      <c r="P62" s="28" t="n">
        <f aca="false">Summary!$C$6*O62</f>
        <v>0.0160445</v>
      </c>
      <c r="Q62" s="29" t="n">
        <f aca="false">Q61*(1+P62)</f>
        <v>10551.7202217737</v>
      </c>
      <c r="R62" s="29" t="n">
        <f aca="false">MAX(R61,Q62)</f>
        <v>10551.7202217737</v>
      </c>
      <c r="S62" s="30" t="n">
        <f aca="false">Q62/R62-1</f>
        <v>0</v>
      </c>
      <c r="T62" s="31" t="n">
        <f aca="false">DATE(YEAR(F62),MONTH(F62),1)</f>
        <v>39417</v>
      </c>
    </row>
    <row r="63" customFormat="false" ht="15" hidden="false" customHeight="true" outlineLevel="0" collapsed="false">
      <c r="A63" s="4" t="n">
        <v>62</v>
      </c>
      <c r="B63" s="4" t="s">
        <v>27</v>
      </c>
      <c r="C63" s="4" t="s">
        <v>54</v>
      </c>
      <c r="D63" s="23" t="n">
        <v>39443.9166666667</v>
      </c>
      <c r="E63" s="23" t="n">
        <v>39444.0833333333</v>
      </c>
      <c r="F63" s="23" t="n">
        <v>39447.65625</v>
      </c>
      <c r="G63" s="4" t="n">
        <f aca="false">YEAR(E63)</f>
        <v>2007</v>
      </c>
      <c r="H63" s="4" t="str">
        <f aca="false">IF(E63&lt;DATE(2015,1,1),"2005–2014",IF(E63&lt;DATE(2022,3,5),"2015 – Mar 2022","Mar 2022 – Oct 2026"))</f>
        <v>2005–2014</v>
      </c>
      <c r="I63" s="24" t="n">
        <v>226.912</v>
      </c>
      <c r="J63" s="24" t="n">
        <v>227.936</v>
      </c>
      <c r="K63" s="24" t="n">
        <v>222.557</v>
      </c>
      <c r="L63" s="25" t="n">
        <v>4.254</v>
      </c>
      <c r="M63" s="26" t="n">
        <v>102.382</v>
      </c>
      <c r="N63" s="4" t="s">
        <v>33</v>
      </c>
      <c r="O63" s="27" t="n">
        <v>4.2538</v>
      </c>
      <c r="P63" s="28" t="n">
        <f aca="false">Summary!$C$6*O63</f>
        <v>0.021269</v>
      </c>
      <c r="Q63" s="29" t="n">
        <f aca="false">Q62*(1+P63)</f>
        <v>10776.1447591706</v>
      </c>
      <c r="R63" s="29" t="n">
        <f aca="false">MAX(R62,Q63)</f>
        <v>10776.1447591706</v>
      </c>
      <c r="S63" s="30" t="n">
        <f aca="false">Q63/R63-1</f>
        <v>0</v>
      </c>
      <c r="T63" s="31" t="n">
        <f aca="false">DATE(YEAR(F63),MONTH(F63),1)</f>
        <v>39417</v>
      </c>
    </row>
    <row r="64" customFormat="false" ht="15" hidden="false" customHeight="true" outlineLevel="0" collapsed="false">
      <c r="A64" s="4" t="n">
        <v>63</v>
      </c>
      <c r="B64" s="4" t="s">
        <v>28</v>
      </c>
      <c r="C64" s="4" t="s">
        <v>54</v>
      </c>
      <c r="D64" s="23" t="n">
        <v>39569.9166666667</v>
      </c>
      <c r="E64" s="23" t="n">
        <v>39570.28125</v>
      </c>
      <c r="F64" s="23" t="n">
        <v>39570.5208333333</v>
      </c>
      <c r="G64" s="4" t="n">
        <f aca="false">YEAR(E64)</f>
        <v>2008</v>
      </c>
      <c r="H64" s="4" t="str">
        <f aca="false">IF(E64&lt;DATE(2015,1,1),"2005–2014",IF(E64&lt;DATE(2022,3,5),"2015 – Mar 2022","Mar 2022 – Oct 2026"))</f>
        <v>2005–2014</v>
      </c>
      <c r="I64" s="24" t="n">
        <v>207.412</v>
      </c>
      <c r="J64" s="24" t="n">
        <v>208.659</v>
      </c>
      <c r="K64" s="24" t="n">
        <v>200.632</v>
      </c>
      <c r="L64" s="25" t="n">
        <v>5.438</v>
      </c>
      <c r="M64" s="26" t="n">
        <v>124.691</v>
      </c>
      <c r="N64" s="4" t="s">
        <v>34</v>
      </c>
      <c r="O64" s="27" t="n">
        <v>-1.006</v>
      </c>
      <c r="P64" s="28" t="n">
        <f aca="false">Summary!$C$6*O64</f>
        <v>-0.00503</v>
      </c>
      <c r="Q64" s="29" t="n">
        <f aca="false">Q63*(1+P64)</f>
        <v>10721.9407510319</v>
      </c>
      <c r="R64" s="29" t="n">
        <f aca="false">MAX(R63,Q64)</f>
        <v>10776.1447591706</v>
      </c>
      <c r="S64" s="30" t="n">
        <f aca="false">Q64/R64-1</f>
        <v>-0.00502999999999998</v>
      </c>
      <c r="T64" s="31" t="n">
        <f aca="false">DATE(YEAR(F64),MONTH(F64),1)</f>
        <v>39569</v>
      </c>
    </row>
    <row r="65" customFormat="false" ht="15" hidden="false" customHeight="true" outlineLevel="0" collapsed="false">
      <c r="A65" s="4" t="n">
        <v>64</v>
      </c>
      <c r="B65" s="4" t="s">
        <v>27</v>
      </c>
      <c r="C65" s="4" t="s">
        <v>54</v>
      </c>
      <c r="D65" s="23" t="n">
        <v>39588.9166666667</v>
      </c>
      <c r="E65" s="23" t="n">
        <v>39589.0104166667</v>
      </c>
      <c r="F65" s="23" t="n">
        <v>39590.4479166667</v>
      </c>
      <c r="G65" s="4" t="n">
        <f aca="false">YEAR(E65)</f>
        <v>2008</v>
      </c>
      <c r="H65" s="4" t="str">
        <f aca="false">IF(E65&lt;DATE(2015,1,1),"2005–2014",IF(E65&lt;DATE(2022,3,5),"2015 – Mar 2022","Mar 2022 – Oct 2026"))</f>
        <v>2005–2014</v>
      </c>
      <c r="I65" s="24" t="n">
        <v>203.736</v>
      </c>
      <c r="J65" s="24" t="n">
        <v>204.768</v>
      </c>
      <c r="K65" s="24" t="n">
        <v>200.606</v>
      </c>
      <c r="L65" s="25" t="n">
        <v>3.034</v>
      </c>
      <c r="M65" s="26" t="n">
        <v>103.176</v>
      </c>
      <c r="N65" s="4" t="s">
        <v>34</v>
      </c>
      <c r="O65" s="27" t="n">
        <v>-1.0073</v>
      </c>
      <c r="P65" s="28" t="n">
        <f aca="false">Summary!$C$6*O65</f>
        <v>-0.0050365</v>
      </c>
      <c r="Q65" s="29" t="n">
        <f aca="false">Q64*(1+P65)</f>
        <v>10667.9396964394</v>
      </c>
      <c r="R65" s="29" t="n">
        <f aca="false">MAX(R64,Q65)</f>
        <v>10776.1447591706</v>
      </c>
      <c r="S65" s="30" t="n">
        <f aca="false">Q65/R65-1</f>
        <v>-0.010041166405</v>
      </c>
      <c r="T65" s="31" t="n">
        <f aca="false">DATE(YEAR(F65),MONTH(F65),1)</f>
        <v>39569</v>
      </c>
    </row>
    <row r="66" customFormat="false" ht="15" hidden="false" customHeight="true" outlineLevel="0" collapsed="false">
      <c r="A66" s="4" t="n">
        <v>65</v>
      </c>
      <c r="B66" s="4" t="s">
        <v>27</v>
      </c>
      <c r="C66" s="4" t="s">
        <v>53</v>
      </c>
      <c r="D66" s="23" t="n">
        <v>39603.9166666667</v>
      </c>
      <c r="E66" s="23" t="n">
        <v>39604.03125</v>
      </c>
      <c r="F66" s="23" t="n">
        <v>39607.8958333333</v>
      </c>
      <c r="G66" s="4" t="n">
        <f aca="false">YEAR(E66)</f>
        <v>2008</v>
      </c>
      <c r="H66" s="4" t="str">
        <f aca="false">IF(E66&lt;DATE(2015,1,1),"2005–2014",IF(E66&lt;DATE(2022,3,5),"2015 – Mar 2022","Mar 2022 – Oct 2026"))</f>
        <v>2005–2014</v>
      </c>
      <c r="I66" s="24" t="n">
        <v>205.837</v>
      </c>
      <c r="J66" s="24" t="n">
        <v>204.825</v>
      </c>
      <c r="K66" s="24" t="n">
        <v>209.031</v>
      </c>
      <c r="L66" s="25" t="n">
        <v>3.155</v>
      </c>
      <c r="M66" s="26" t="n">
        <v>101.213</v>
      </c>
      <c r="N66" s="4" t="s">
        <v>35</v>
      </c>
      <c r="O66" s="27" t="n">
        <v>0.0222</v>
      </c>
      <c r="P66" s="28" t="n">
        <f aca="false">Summary!$C$6*O66</f>
        <v>0.000111</v>
      </c>
      <c r="Q66" s="29" t="n">
        <f aca="false">Q65*(1+P66)</f>
        <v>10669.1238377457</v>
      </c>
      <c r="R66" s="29" t="n">
        <f aca="false">MAX(R65,Q66)</f>
        <v>10776.1447591706</v>
      </c>
      <c r="S66" s="30" t="n">
        <f aca="false">Q66/R66-1</f>
        <v>-0.00993128097447094</v>
      </c>
      <c r="T66" s="31" t="n">
        <f aca="false">DATE(YEAR(F66),MONTH(F66),1)</f>
        <v>39600</v>
      </c>
    </row>
    <row r="67" customFormat="false" ht="15" hidden="false" customHeight="true" outlineLevel="0" collapsed="false">
      <c r="A67" s="4" t="n">
        <v>66</v>
      </c>
      <c r="B67" s="4" t="s">
        <v>28</v>
      </c>
      <c r="C67" s="4" t="s">
        <v>54</v>
      </c>
      <c r="D67" s="23" t="n">
        <v>39616.9166666667</v>
      </c>
      <c r="E67" s="23" t="n">
        <v>39618.5208333333</v>
      </c>
      <c r="F67" s="23" t="n">
        <v>39623.25</v>
      </c>
      <c r="G67" s="4" t="n">
        <f aca="false">YEAR(E67)</f>
        <v>2008</v>
      </c>
      <c r="H67" s="4" t="str">
        <f aca="false">IF(E67&lt;DATE(2015,1,1),"2005–2014",IF(E67&lt;DATE(2022,3,5),"2015 – Mar 2022","Mar 2022 – Oct 2026"))</f>
        <v>2005–2014</v>
      </c>
      <c r="I67" s="24" t="n">
        <v>212.659</v>
      </c>
      <c r="J67" s="24" t="n">
        <v>213.526</v>
      </c>
      <c r="K67" s="24" t="n">
        <v>210.056</v>
      </c>
      <c r="L67" s="25" t="n">
        <v>3.002</v>
      </c>
      <c r="M67" s="26" t="n">
        <v>86.713</v>
      </c>
      <c r="N67" s="4" t="s">
        <v>35</v>
      </c>
      <c r="O67" s="27" t="n">
        <v>0.0259</v>
      </c>
      <c r="P67" s="28" t="n">
        <f aca="false">Summary!$C$6*O67</f>
        <v>0.0001295</v>
      </c>
      <c r="Q67" s="29" t="n">
        <f aca="false">Q66*(1+P67)</f>
        <v>10670.5054892827</v>
      </c>
      <c r="R67" s="29" t="n">
        <f aca="false">MAX(R66,Q67)</f>
        <v>10776.1447591706</v>
      </c>
      <c r="S67" s="30" t="n">
        <f aca="false">Q67/R67-1</f>
        <v>-0.00980306707535716</v>
      </c>
      <c r="T67" s="31" t="n">
        <f aca="false">DATE(YEAR(F67),MONTH(F67),1)</f>
        <v>39600</v>
      </c>
    </row>
    <row r="68" customFormat="false" ht="15" hidden="false" customHeight="true" outlineLevel="0" collapsed="false">
      <c r="A68" s="4" t="n">
        <v>67</v>
      </c>
      <c r="B68" s="4" t="s">
        <v>27</v>
      </c>
      <c r="C68" s="4" t="s">
        <v>54</v>
      </c>
      <c r="D68" s="23" t="n">
        <v>39625.9166666667</v>
      </c>
      <c r="E68" s="23" t="n">
        <v>39625.9791666667</v>
      </c>
      <c r="F68" s="23" t="n">
        <v>39629.3229166667</v>
      </c>
      <c r="G68" s="4" t="n">
        <f aca="false">YEAR(E68)</f>
        <v>2008</v>
      </c>
      <c r="H68" s="4" t="str">
        <f aca="false">IF(E68&lt;DATE(2015,1,1),"2005–2014",IF(E68&lt;DATE(2022,3,5),"2015 – Mar 2022","Mar 2022 – Oct 2026"))</f>
        <v>2005–2014</v>
      </c>
      <c r="I68" s="24" t="n">
        <v>212.426</v>
      </c>
      <c r="J68" s="24" t="n">
        <v>213.191</v>
      </c>
      <c r="K68" s="24" t="n">
        <v>210.043</v>
      </c>
      <c r="L68" s="25" t="n">
        <v>3.113</v>
      </c>
      <c r="M68" s="26" t="n">
        <v>76.545</v>
      </c>
      <c r="N68" s="4" t="s">
        <v>33</v>
      </c>
      <c r="O68" s="27" t="n">
        <v>3.1127</v>
      </c>
      <c r="P68" s="28" t="n">
        <f aca="false">Summary!$C$6*O68</f>
        <v>0.0155635</v>
      </c>
      <c r="Q68" s="29" t="n">
        <f aca="false">Q67*(1+P68)</f>
        <v>10836.5759014651</v>
      </c>
      <c r="R68" s="29" t="n">
        <f aca="false">MAX(R67,Q68)</f>
        <v>10836.5759014651</v>
      </c>
      <c r="S68" s="30" t="n">
        <f aca="false">Q68/R68-1</f>
        <v>0</v>
      </c>
      <c r="T68" s="31" t="n">
        <f aca="false">DATE(YEAR(F68),MONTH(F68),1)</f>
        <v>39600</v>
      </c>
    </row>
    <row r="69" customFormat="false" ht="15" hidden="false" customHeight="true" outlineLevel="0" collapsed="false">
      <c r="A69" s="4" t="n">
        <v>68</v>
      </c>
      <c r="B69" s="4" t="s">
        <v>27</v>
      </c>
      <c r="C69" s="4" t="s">
        <v>53</v>
      </c>
      <c r="D69" s="23" t="n">
        <v>39645.9166666667</v>
      </c>
      <c r="E69" s="23" t="n">
        <v>39646.1979166667</v>
      </c>
      <c r="F69" s="23" t="n">
        <v>39646.7291666667</v>
      </c>
      <c r="G69" s="4" t="n">
        <f aca="false">YEAR(E69)</f>
        <v>2008</v>
      </c>
      <c r="H69" s="4" t="str">
        <f aca="false">IF(E69&lt;DATE(2015,1,1),"2005–2014",IF(E69&lt;DATE(2022,3,5),"2015 – Mar 2022","Mar 2022 – Oct 2026"))</f>
        <v>2005–2014</v>
      </c>
      <c r="I69" s="24" t="n">
        <v>209.985</v>
      </c>
      <c r="J69" s="24" t="n">
        <v>209.247</v>
      </c>
      <c r="K69" s="24" t="n">
        <v>212.571</v>
      </c>
      <c r="L69" s="25" t="n">
        <v>3.505</v>
      </c>
      <c r="M69" s="26" t="n">
        <v>73.79</v>
      </c>
      <c r="N69" s="4" t="s">
        <v>33</v>
      </c>
      <c r="O69" s="27" t="n">
        <v>3.5046</v>
      </c>
      <c r="P69" s="28" t="n">
        <f aca="false">Summary!$C$6*O69</f>
        <v>0.017523</v>
      </c>
      <c r="Q69" s="29" t="n">
        <f aca="false">Q68*(1+P69)</f>
        <v>11026.4652209865</v>
      </c>
      <c r="R69" s="29" t="n">
        <f aca="false">MAX(R68,Q69)</f>
        <v>11026.4652209865</v>
      </c>
      <c r="S69" s="30" t="n">
        <f aca="false">Q69/R69-1</f>
        <v>0</v>
      </c>
      <c r="T69" s="31" t="n">
        <f aca="false">DATE(YEAR(F69),MONTH(F69),1)</f>
        <v>39630</v>
      </c>
    </row>
    <row r="70" customFormat="false" ht="15" hidden="false" customHeight="true" outlineLevel="0" collapsed="false">
      <c r="A70" s="4" t="n">
        <v>69</v>
      </c>
      <c r="B70" s="4" t="s">
        <v>27</v>
      </c>
      <c r="C70" s="4" t="s">
        <v>54</v>
      </c>
      <c r="D70" s="23" t="n">
        <v>39646.9166666667</v>
      </c>
      <c r="E70" s="23" t="n">
        <v>39647.2604166667</v>
      </c>
      <c r="F70" s="23" t="n">
        <v>39647.4375</v>
      </c>
      <c r="G70" s="4" t="n">
        <f aca="false">YEAR(E70)</f>
        <v>2008</v>
      </c>
      <c r="H70" s="4" t="str">
        <f aca="false">IF(E70&lt;DATE(2015,1,1),"2005–2014",IF(E70&lt;DATE(2022,3,5),"2015 – Mar 2022","Mar 2022 – Oct 2026"))</f>
        <v>2005–2014</v>
      </c>
      <c r="I70" s="24" t="n">
        <v>212.031</v>
      </c>
      <c r="J70" s="24" t="n">
        <v>212.832</v>
      </c>
      <c r="K70" s="24" t="n">
        <v>209.357</v>
      </c>
      <c r="L70" s="25" t="n">
        <v>3.338</v>
      </c>
      <c r="M70" s="26" t="n">
        <v>80.125</v>
      </c>
      <c r="N70" s="4" t="s">
        <v>34</v>
      </c>
      <c r="O70" s="27" t="n">
        <v>-1.0094</v>
      </c>
      <c r="P70" s="28" t="n">
        <f aca="false">Summary!$C$6*O70</f>
        <v>-0.005047</v>
      </c>
      <c r="Q70" s="29" t="n">
        <f aca="false">Q69*(1+P70)</f>
        <v>10970.8146510162</v>
      </c>
      <c r="R70" s="29" t="n">
        <f aca="false">MAX(R69,Q70)</f>
        <v>11026.4652209865</v>
      </c>
      <c r="S70" s="30" t="n">
        <f aca="false">Q70/R70-1</f>
        <v>-0.00504700000000002</v>
      </c>
      <c r="T70" s="31" t="n">
        <f aca="false">DATE(YEAR(F70),MONTH(F70),1)</f>
        <v>39630</v>
      </c>
    </row>
    <row r="71" customFormat="false" ht="15" hidden="false" customHeight="true" outlineLevel="0" collapsed="false">
      <c r="A71" s="4" t="n">
        <v>70</v>
      </c>
      <c r="B71" s="4" t="s">
        <v>28</v>
      </c>
      <c r="C71" s="4" t="s">
        <v>53</v>
      </c>
      <c r="D71" s="23" t="n">
        <v>39647.9166666667</v>
      </c>
      <c r="E71" s="23" t="n">
        <v>39650.25</v>
      </c>
      <c r="F71" s="23" t="n">
        <v>39652.4583333333</v>
      </c>
      <c r="G71" s="4" t="n">
        <f aca="false">YEAR(E71)</f>
        <v>2008</v>
      </c>
      <c r="H71" s="4" t="str">
        <f aca="false">IF(E71&lt;DATE(2015,1,1),"2005–2014",IF(E71&lt;DATE(2022,3,5),"2015 – Mar 2022","Mar 2022 – Oct 2026"))</f>
        <v>2005–2014</v>
      </c>
      <c r="I71" s="24" t="n">
        <v>212.658</v>
      </c>
      <c r="J71" s="24" t="n">
        <v>211.848</v>
      </c>
      <c r="K71" s="24" t="n">
        <v>215.437</v>
      </c>
      <c r="L71" s="25" t="n">
        <v>3.431</v>
      </c>
      <c r="M71" s="26" t="n">
        <v>80.994</v>
      </c>
      <c r="N71" s="4" t="s">
        <v>33</v>
      </c>
      <c r="O71" s="27" t="n">
        <v>3.4311</v>
      </c>
      <c r="P71" s="28" t="n">
        <f aca="false">Summary!$C$6*O71</f>
        <v>0.0171555</v>
      </c>
      <c r="Q71" s="29" t="n">
        <f aca="false">Q70*(1+P71)</f>
        <v>11159.0244617617</v>
      </c>
      <c r="R71" s="29" t="n">
        <f aca="false">MAX(R70,Q71)</f>
        <v>11159.0244617617</v>
      </c>
      <c r="S71" s="30" t="n">
        <f aca="false">Q71/R71-1</f>
        <v>0</v>
      </c>
      <c r="T71" s="31" t="n">
        <f aca="false">DATE(YEAR(F71),MONTH(F71),1)</f>
        <v>39630</v>
      </c>
    </row>
    <row r="72" customFormat="false" ht="15" hidden="false" customHeight="true" outlineLevel="0" collapsed="false">
      <c r="A72" s="4" t="n">
        <v>71</v>
      </c>
      <c r="B72" s="4" t="s">
        <v>27</v>
      </c>
      <c r="C72" s="4" t="s">
        <v>53</v>
      </c>
      <c r="D72" s="23" t="n">
        <v>39661.9166666667</v>
      </c>
      <c r="E72" s="23" t="n">
        <v>39664.2395833333</v>
      </c>
      <c r="F72" s="23" t="n">
        <v>39665.2395833333</v>
      </c>
      <c r="G72" s="4" t="n">
        <f aca="false">YEAR(E72)</f>
        <v>2008</v>
      </c>
      <c r="H72" s="4" t="str">
        <f aca="false">IF(E72&lt;DATE(2015,1,1),"2005–2014",IF(E72&lt;DATE(2022,3,5),"2015 – Mar 2022","Mar 2022 – Oct 2026"))</f>
        <v>2005–2014</v>
      </c>
      <c r="I72" s="24" t="n">
        <v>212.513</v>
      </c>
      <c r="J72" s="24" t="n">
        <v>211.779</v>
      </c>
      <c r="K72" s="24" t="n">
        <v>215.447</v>
      </c>
      <c r="L72" s="25" t="n">
        <v>3.999</v>
      </c>
      <c r="M72" s="26" t="n">
        <v>73.363</v>
      </c>
      <c r="N72" s="4" t="s">
        <v>34</v>
      </c>
      <c r="O72" s="27" t="n">
        <v>-1.0102</v>
      </c>
      <c r="P72" s="28" t="n">
        <f aca="false">Summary!$C$6*O72</f>
        <v>-0.005051</v>
      </c>
      <c r="Q72" s="29" t="n">
        <f aca="false">Q71*(1+P72)</f>
        <v>11102.6602292053</v>
      </c>
      <c r="R72" s="29" t="n">
        <f aca="false">MAX(R71,Q72)</f>
        <v>11159.0244617617</v>
      </c>
      <c r="S72" s="30" t="n">
        <f aca="false">Q72/R72-1</f>
        <v>-0.00505099999999992</v>
      </c>
      <c r="T72" s="31" t="n">
        <f aca="false">DATE(YEAR(F72),MONTH(F72),1)</f>
        <v>39661</v>
      </c>
    </row>
    <row r="73" customFormat="false" ht="15" hidden="false" customHeight="true" outlineLevel="0" collapsed="false">
      <c r="A73" s="4" t="n">
        <v>72</v>
      </c>
      <c r="B73" s="4" t="s">
        <v>28</v>
      </c>
      <c r="C73" s="4" t="s">
        <v>54</v>
      </c>
      <c r="D73" s="23" t="n">
        <v>39665.9166666667</v>
      </c>
      <c r="E73" s="23" t="n">
        <v>39666.5625</v>
      </c>
      <c r="F73" s="23" t="n">
        <v>39666.6875</v>
      </c>
      <c r="G73" s="4" t="n">
        <f aca="false">YEAR(E73)</f>
        <v>2008</v>
      </c>
      <c r="H73" s="4" t="str">
        <f aca="false">IF(E73&lt;DATE(2015,1,1),"2005–2014",IF(E73&lt;DATE(2022,3,5),"2015 – Mar 2022","Mar 2022 – Oct 2026"))</f>
        <v>2005–2014</v>
      </c>
      <c r="I73" s="24" t="n">
        <v>212.641</v>
      </c>
      <c r="J73" s="24" t="n">
        <v>213.35</v>
      </c>
      <c r="K73" s="24" t="n">
        <v>210.036</v>
      </c>
      <c r="L73" s="25" t="n">
        <v>3.675</v>
      </c>
      <c r="M73" s="26" t="n">
        <v>70.88</v>
      </c>
      <c r="N73" s="4" t="s">
        <v>34</v>
      </c>
      <c r="O73" s="27" t="n">
        <v>-1.0106</v>
      </c>
      <c r="P73" s="28" t="n">
        <f aca="false">Summary!$C$6*O73</f>
        <v>-0.005053</v>
      </c>
      <c r="Q73" s="29" t="n">
        <f aca="false">Q72*(1+P73)</f>
        <v>11046.5584870671</v>
      </c>
      <c r="R73" s="29" t="n">
        <f aca="false">MAX(R72,Q73)</f>
        <v>11159.0244617617</v>
      </c>
      <c r="S73" s="30" t="n">
        <f aca="false">Q73/R73-1</f>
        <v>-0.010078477297</v>
      </c>
      <c r="T73" s="31" t="n">
        <f aca="false">DATE(YEAR(F73),MONTH(F73),1)</f>
        <v>39661</v>
      </c>
    </row>
    <row r="74" customFormat="false" ht="15" hidden="false" customHeight="true" outlineLevel="0" collapsed="false">
      <c r="A74" s="4" t="n">
        <v>73</v>
      </c>
      <c r="B74" s="4" t="s">
        <v>28</v>
      </c>
      <c r="C74" s="4" t="s">
        <v>53</v>
      </c>
      <c r="D74" s="23" t="n">
        <v>39666.9166666667</v>
      </c>
      <c r="E74" s="23" t="n">
        <v>39667.6666666667</v>
      </c>
      <c r="F74" s="23" t="n">
        <v>39668.0104166667</v>
      </c>
      <c r="G74" s="4" t="n">
        <f aca="false">YEAR(E74)</f>
        <v>2008</v>
      </c>
      <c r="H74" s="4" t="str">
        <f aca="false">IF(E74&lt;DATE(2015,1,1),"2005–2014",IF(E74&lt;DATE(2022,3,5),"2015 – Mar 2022","Mar 2022 – Oct 2026"))</f>
        <v>2005–2014</v>
      </c>
      <c r="I74" s="24" t="n">
        <v>212.63</v>
      </c>
      <c r="J74" s="24" t="n">
        <v>211.898</v>
      </c>
      <c r="K74" s="24" t="n">
        <v>215.447</v>
      </c>
      <c r="L74" s="25" t="n">
        <v>3.852</v>
      </c>
      <c r="M74" s="26" t="n">
        <v>73.136</v>
      </c>
      <c r="N74" s="4" t="s">
        <v>34</v>
      </c>
      <c r="O74" s="27" t="n">
        <v>-1.0103</v>
      </c>
      <c r="P74" s="28" t="n">
        <f aca="false">Summary!$C$6*O74</f>
        <v>-0.0050515</v>
      </c>
      <c r="Q74" s="29" t="n">
        <f aca="false">Q73*(1+P74)</f>
        <v>10990.7567968697</v>
      </c>
      <c r="R74" s="29" t="n">
        <f aca="false">MAX(R73,Q74)</f>
        <v>11159.0244617617</v>
      </c>
      <c r="S74" s="30" t="n">
        <f aca="false">Q74/R74-1</f>
        <v>-0.0150790658689342</v>
      </c>
      <c r="T74" s="31" t="n">
        <f aca="false">DATE(YEAR(F74),MONTH(F74),1)</f>
        <v>39661</v>
      </c>
    </row>
    <row r="75" customFormat="false" ht="15" hidden="false" customHeight="true" outlineLevel="0" collapsed="false">
      <c r="A75" s="4" t="n">
        <v>74</v>
      </c>
      <c r="B75" s="4" t="s">
        <v>27</v>
      </c>
      <c r="C75" s="4" t="s">
        <v>53</v>
      </c>
      <c r="D75" s="23" t="n">
        <v>39679.9166666667</v>
      </c>
      <c r="E75" s="23" t="n">
        <v>39680.59375</v>
      </c>
      <c r="F75" s="23" t="n">
        <v>39681.21875</v>
      </c>
      <c r="G75" s="4" t="n">
        <f aca="false">YEAR(E75)</f>
        <v>2008</v>
      </c>
      <c r="H75" s="4" t="str">
        <f aca="false">IF(E75&lt;DATE(2015,1,1),"2005–2014",IF(E75&lt;DATE(2022,3,5),"2015 – Mar 2022","Mar 2022 – Oct 2026"))</f>
        <v>2005–2014</v>
      </c>
      <c r="I75" s="24" t="n">
        <v>204.467</v>
      </c>
      <c r="J75" s="24" t="n">
        <v>203.637</v>
      </c>
      <c r="K75" s="24" t="n">
        <v>207.334</v>
      </c>
      <c r="L75" s="25" t="n">
        <v>3.455</v>
      </c>
      <c r="M75" s="26" t="n">
        <v>82.977</v>
      </c>
      <c r="N75" s="4" t="s">
        <v>34</v>
      </c>
      <c r="O75" s="27" t="n">
        <v>-1.009</v>
      </c>
      <c r="P75" s="28" t="n">
        <f aca="false">Summary!$C$6*O75</f>
        <v>-0.005045</v>
      </c>
      <c r="Q75" s="29" t="n">
        <f aca="false">Q74*(1+P75)</f>
        <v>10935.3084288295</v>
      </c>
      <c r="R75" s="29" t="n">
        <f aca="false">MAX(R74,Q75)</f>
        <v>11159.0244617617</v>
      </c>
      <c r="S75" s="30" t="n">
        <f aca="false">Q75/R75-1</f>
        <v>-0.0200479919816254</v>
      </c>
      <c r="T75" s="31" t="n">
        <f aca="false">DATE(YEAR(F75),MONTH(F75),1)</f>
        <v>39661</v>
      </c>
    </row>
    <row r="76" customFormat="false" ht="15" hidden="false" customHeight="true" outlineLevel="0" collapsed="false">
      <c r="A76" s="4" t="n">
        <v>75</v>
      </c>
      <c r="B76" s="4" t="s">
        <v>28</v>
      </c>
      <c r="C76" s="4" t="s">
        <v>53</v>
      </c>
      <c r="D76" s="23" t="n">
        <v>39710.9166666667</v>
      </c>
      <c r="E76" s="23" t="n">
        <v>39717.3125</v>
      </c>
      <c r="F76" s="23" t="n">
        <v>39720.2604166667</v>
      </c>
      <c r="G76" s="4" t="n">
        <f aca="false">YEAR(E76)</f>
        <v>2008</v>
      </c>
      <c r="H76" s="4" t="str">
        <f aca="false">IF(E76&lt;DATE(2015,1,1),"2005–2014",IF(E76&lt;DATE(2022,3,5),"2015 – Mar 2022","Mar 2022 – Oct 2026"))</f>
        <v>2005–2014</v>
      </c>
      <c r="I76" s="24" t="n">
        <v>193.665</v>
      </c>
      <c r="J76" s="24" t="n">
        <v>192.117</v>
      </c>
      <c r="K76" s="24" t="n">
        <v>198.724</v>
      </c>
      <c r="L76" s="25" t="n">
        <v>3.269</v>
      </c>
      <c r="M76" s="26" t="n">
        <v>154.781</v>
      </c>
      <c r="N76" s="4" t="s">
        <v>35</v>
      </c>
      <c r="O76" s="27" t="n">
        <v>0.0145</v>
      </c>
      <c r="P76" s="28" t="n">
        <f aca="false">Summary!$C$6*O76</f>
        <v>7.25E-005</v>
      </c>
      <c r="Q76" s="29" t="n">
        <f aca="false">Q75*(1+P76)</f>
        <v>10936.1012386906</v>
      </c>
      <c r="R76" s="29" t="n">
        <f aca="false">MAX(R75,Q76)</f>
        <v>11159.0244617617</v>
      </c>
      <c r="S76" s="30" t="n">
        <f aca="false">Q76/R76-1</f>
        <v>-0.0199769454610441</v>
      </c>
      <c r="T76" s="31" t="n">
        <f aca="false">DATE(YEAR(F76),MONTH(F76),1)</f>
        <v>39692</v>
      </c>
    </row>
    <row r="77" customFormat="false" ht="15" hidden="false" customHeight="true" outlineLevel="0" collapsed="false">
      <c r="A77" s="4" t="n">
        <v>76</v>
      </c>
      <c r="B77" s="4" t="s">
        <v>27</v>
      </c>
      <c r="C77" s="4" t="s">
        <v>53</v>
      </c>
      <c r="D77" s="23" t="n">
        <v>39798.9166666667</v>
      </c>
      <c r="E77" s="23" t="n">
        <v>39799.71875</v>
      </c>
      <c r="F77" s="23" t="n">
        <v>39800.71875</v>
      </c>
      <c r="G77" s="4" t="n">
        <f aca="false">YEAR(E77)</f>
        <v>2008</v>
      </c>
      <c r="H77" s="4" t="str">
        <f aca="false">IF(E77&lt;DATE(2015,1,1),"2005–2014",IF(E77&lt;DATE(2022,3,5),"2015 – Mar 2022","Mar 2022 – Oct 2026"))</f>
        <v>2005–2014</v>
      </c>
      <c r="I77" s="24" t="n">
        <v>136.122</v>
      </c>
      <c r="J77" s="24" t="n">
        <v>134.38</v>
      </c>
      <c r="K77" s="24" t="n">
        <v>144.135</v>
      </c>
      <c r="L77" s="25" t="n">
        <v>4.601</v>
      </c>
      <c r="M77" s="26" t="n">
        <v>174.16</v>
      </c>
      <c r="N77" s="4" t="s">
        <v>34</v>
      </c>
      <c r="O77" s="27" t="n">
        <v>-1.0043</v>
      </c>
      <c r="P77" s="28" t="n">
        <f aca="false">Summary!$C$6*O77</f>
        <v>-0.0050215</v>
      </c>
      <c r="Q77" s="29" t="n">
        <f aca="false">Q76*(1+P77)</f>
        <v>10881.1856063205</v>
      </c>
      <c r="R77" s="29" t="n">
        <f aca="false">MAX(R76,Q77)</f>
        <v>11159.0244617617</v>
      </c>
      <c r="S77" s="30" t="n">
        <f aca="false">Q77/R77-1</f>
        <v>-0.0248981312294114</v>
      </c>
      <c r="T77" s="31" t="n">
        <f aca="false">DATE(YEAR(F77),MONTH(F77),1)</f>
        <v>39783</v>
      </c>
    </row>
    <row r="78" customFormat="false" ht="15" hidden="false" customHeight="true" outlineLevel="0" collapsed="false">
      <c r="A78" s="4" t="n">
        <v>77</v>
      </c>
      <c r="B78" s="4" t="s">
        <v>28</v>
      </c>
      <c r="C78" s="4" t="s">
        <v>53</v>
      </c>
      <c r="D78" s="23" t="n">
        <v>39819.9166666667</v>
      </c>
      <c r="E78" s="23" t="n">
        <v>39821.3125</v>
      </c>
      <c r="F78" s="23" t="n">
        <v>39821.6875</v>
      </c>
      <c r="G78" s="4" t="n">
        <f aca="false">YEAR(E78)</f>
        <v>2009</v>
      </c>
      <c r="H78" s="4" t="str">
        <f aca="false">IF(E78&lt;DATE(2015,1,1),"2005–2014",IF(E78&lt;DATE(2022,3,5),"2015 – Mar 2022","Mar 2022 – Oct 2026"))</f>
        <v>2005–2014</v>
      </c>
      <c r="I78" s="24" t="n">
        <v>137.913</v>
      </c>
      <c r="J78" s="24" t="n">
        <v>136.583</v>
      </c>
      <c r="K78" s="24" t="n">
        <v>144.185</v>
      </c>
      <c r="L78" s="25" t="n">
        <v>4.714</v>
      </c>
      <c r="M78" s="26" t="n">
        <v>133.045</v>
      </c>
      <c r="N78" s="4" t="s">
        <v>35</v>
      </c>
      <c r="O78" s="27" t="n">
        <v>0.0169</v>
      </c>
      <c r="P78" s="28" t="n">
        <f aca="false">Summary!$C$6*O78</f>
        <v>8.45E-005</v>
      </c>
      <c r="Q78" s="29" t="n">
        <f aca="false">Q77*(1+P78)</f>
        <v>10882.1050665043</v>
      </c>
      <c r="R78" s="29" t="n">
        <f aca="false">MAX(R77,Q78)</f>
        <v>11159.0244617617</v>
      </c>
      <c r="S78" s="30" t="n">
        <f aca="false">Q78/R78-1</f>
        <v>-0.0248157351215002</v>
      </c>
      <c r="T78" s="31" t="n">
        <f aca="false">DATE(YEAR(F78),MONTH(F78),1)</f>
        <v>39814</v>
      </c>
    </row>
    <row r="79" customFormat="false" ht="15" hidden="false" customHeight="true" outlineLevel="0" collapsed="false">
      <c r="A79" s="4" t="n">
        <v>78</v>
      </c>
      <c r="B79" s="4" t="s">
        <v>27</v>
      </c>
      <c r="C79" s="4" t="s">
        <v>53</v>
      </c>
      <c r="D79" s="23" t="n">
        <v>39821.9166666667</v>
      </c>
      <c r="E79" s="23" t="n">
        <v>39822.3541666667</v>
      </c>
      <c r="F79" s="23" t="n">
        <v>39822.40625</v>
      </c>
      <c r="G79" s="4" t="n">
        <f aca="false">YEAR(E79)</f>
        <v>2009</v>
      </c>
      <c r="H79" s="4" t="str">
        <f aca="false">IF(E79&lt;DATE(2015,1,1),"2005–2014",IF(E79&lt;DATE(2022,3,5),"2015 – Mar 2022","Mar 2022 – Oct 2026"))</f>
        <v>2005–2014</v>
      </c>
      <c r="I79" s="24" t="n">
        <v>138.698</v>
      </c>
      <c r="J79" s="24" t="n">
        <v>137.368</v>
      </c>
      <c r="K79" s="24" t="n">
        <v>144.185</v>
      </c>
      <c r="L79" s="25" t="n">
        <v>4.124</v>
      </c>
      <c r="M79" s="26" t="n">
        <v>133.043</v>
      </c>
      <c r="N79" s="4" t="s">
        <v>34</v>
      </c>
      <c r="O79" s="27" t="n">
        <v>-1.0056</v>
      </c>
      <c r="P79" s="28" t="n">
        <f aca="false">Summary!$C$6*O79</f>
        <v>-0.005028</v>
      </c>
      <c r="Q79" s="29" t="n">
        <f aca="false">Q78*(1+P79)</f>
        <v>10827.3898422299</v>
      </c>
      <c r="R79" s="29" t="n">
        <f aca="false">MAX(R78,Q79)</f>
        <v>11159.0244617617</v>
      </c>
      <c r="S79" s="30" t="n">
        <f aca="false">Q79/R79-1</f>
        <v>-0.0297189616053093</v>
      </c>
      <c r="T79" s="31" t="n">
        <f aca="false">DATE(YEAR(F79),MONTH(F79),1)</f>
        <v>39814</v>
      </c>
    </row>
    <row r="80" customFormat="false" ht="15" hidden="false" customHeight="true" outlineLevel="0" collapsed="false">
      <c r="A80" s="4" t="n">
        <v>79</v>
      </c>
      <c r="B80" s="4" t="s">
        <v>28</v>
      </c>
      <c r="C80" s="4" t="s">
        <v>53</v>
      </c>
      <c r="D80" s="23" t="n">
        <v>39843.9166666667</v>
      </c>
      <c r="E80" s="23" t="n">
        <v>39845.9479166667</v>
      </c>
      <c r="F80" s="23" t="n">
        <v>39846.3229166667</v>
      </c>
      <c r="G80" s="4" t="n">
        <f aca="false">YEAR(E80)</f>
        <v>2009</v>
      </c>
      <c r="H80" s="4" t="str">
        <f aca="false">IF(E80&lt;DATE(2015,1,1),"2005–2014",IF(E80&lt;DATE(2022,3,5),"2015 – Mar 2022","Mar 2022 – Oct 2026"))</f>
        <v>2005–2014</v>
      </c>
      <c r="I80" s="24" t="n">
        <v>129.513</v>
      </c>
      <c r="J80" s="24" t="n">
        <v>127.884</v>
      </c>
      <c r="K80" s="24" t="n">
        <v>134.749</v>
      </c>
      <c r="L80" s="25" t="n">
        <v>3.215</v>
      </c>
      <c r="M80" s="26" t="n">
        <v>162.884</v>
      </c>
      <c r="N80" s="4" t="s">
        <v>34</v>
      </c>
      <c r="O80" s="27" t="n">
        <v>-1.0046</v>
      </c>
      <c r="P80" s="28" t="n">
        <f aca="false">Summary!$C$6*O80</f>
        <v>-0.005023</v>
      </c>
      <c r="Q80" s="29" t="n">
        <f aca="false">Q79*(1+P80)</f>
        <v>10773.0038630523</v>
      </c>
      <c r="R80" s="29" t="n">
        <f aca="false">MAX(R79,Q80)</f>
        <v>11159.0244617617</v>
      </c>
      <c r="S80" s="30" t="n">
        <f aca="false">Q80/R80-1</f>
        <v>-0.0345926832611658</v>
      </c>
      <c r="T80" s="31" t="n">
        <f aca="false">DATE(YEAR(F80),MONTH(F80),1)</f>
        <v>39845</v>
      </c>
    </row>
    <row r="81" customFormat="false" ht="15" hidden="false" customHeight="true" outlineLevel="0" collapsed="false">
      <c r="A81" s="4" t="n">
        <v>80</v>
      </c>
      <c r="B81" s="4" t="s">
        <v>28</v>
      </c>
      <c r="C81" s="4" t="s">
        <v>54</v>
      </c>
      <c r="D81" s="23" t="n">
        <v>39846.9166666667</v>
      </c>
      <c r="E81" s="23" t="n">
        <v>39848.625</v>
      </c>
      <c r="F81" s="23" t="n">
        <v>39849.5</v>
      </c>
      <c r="G81" s="4" t="n">
        <f aca="false">YEAR(E81)</f>
        <v>2009</v>
      </c>
      <c r="H81" s="4" t="str">
        <f aca="false">IF(E81&lt;DATE(2015,1,1),"2005–2014",IF(E81&lt;DATE(2022,3,5),"2015 – Mar 2022","Mar 2022 – Oct 2026"))</f>
        <v>2005–2014</v>
      </c>
      <c r="I81" s="24" t="n">
        <v>129.629</v>
      </c>
      <c r="J81" s="24" t="n">
        <v>131.3</v>
      </c>
      <c r="K81" s="24" t="n">
        <v>122.084</v>
      </c>
      <c r="L81" s="25" t="n">
        <v>4.514</v>
      </c>
      <c r="M81" s="26" t="n">
        <v>167.131</v>
      </c>
      <c r="N81" s="4" t="s">
        <v>34</v>
      </c>
      <c r="O81" s="27" t="n">
        <v>-1.0045</v>
      </c>
      <c r="P81" s="28" t="n">
        <f aca="false">Summary!$C$6*O81</f>
        <v>-0.0050225</v>
      </c>
      <c r="Q81" s="29" t="n">
        <f aca="false">Q80*(1+P81)</f>
        <v>10718.8964511502</v>
      </c>
      <c r="R81" s="29" t="n">
        <f aca="false">MAX(R80,Q81)</f>
        <v>11159.0244617617</v>
      </c>
      <c r="S81" s="30" t="n">
        <f aca="false">Q81/R81-1</f>
        <v>-0.0394414415094867</v>
      </c>
      <c r="T81" s="31" t="n">
        <f aca="false">DATE(YEAR(F81),MONTH(F81),1)</f>
        <v>39845</v>
      </c>
    </row>
    <row r="82" customFormat="false" ht="15" hidden="false" customHeight="true" outlineLevel="0" collapsed="false">
      <c r="A82" s="4" t="n">
        <v>81</v>
      </c>
      <c r="B82" s="4" t="s">
        <v>27</v>
      </c>
      <c r="C82" s="4" t="s">
        <v>53</v>
      </c>
      <c r="D82" s="23" t="n">
        <v>39860.9166666667</v>
      </c>
      <c r="E82" s="23" t="n">
        <v>39861.3020833333</v>
      </c>
      <c r="F82" s="23" t="n">
        <v>39863.5729166667</v>
      </c>
      <c r="G82" s="4" t="n">
        <f aca="false">YEAR(E82)</f>
        <v>2009</v>
      </c>
      <c r="H82" s="4" t="str">
        <f aca="false">IF(E82&lt;DATE(2015,1,1),"2005–2014",IF(E82&lt;DATE(2022,3,5),"2015 – Mar 2022","Mar 2022 – Oct 2026"))</f>
        <v>2005–2014</v>
      </c>
      <c r="I82" s="24" t="n">
        <v>131.027</v>
      </c>
      <c r="J82" s="24" t="n">
        <v>129.38</v>
      </c>
      <c r="K82" s="24" t="n">
        <v>136.066</v>
      </c>
      <c r="L82" s="25" t="n">
        <v>3.059</v>
      </c>
      <c r="M82" s="26" t="n">
        <v>164.736</v>
      </c>
      <c r="N82" s="4" t="s">
        <v>33</v>
      </c>
      <c r="O82" s="27" t="n">
        <v>3.0589</v>
      </c>
      <c r="P82" s="28" t="n">
        <f aca="false">Summary!$C$6*O82</f>
        <v>0.0152945</v>
      </c>
      <c r="Q82" s="29" t="n">
        <f aca="false">Q81*(1+P82)</f>
        <v>10882.8366129223</v>
      </c>
      <c r="R82" s="29" t="n">
        <f aca="false">MAX(R81,Q82)</f>
        <v>11159.0244617617</v>
      </c>
      <c r="S82" s="30" t="n">
        <f aca="false">Q82/R82-1</f>
        <v>-0.0247501786366536</v>
      </c>
      <c r="T82" s="31" t="n">
        <f aca="false">DATE(YEAR(F82),MONTH(F82),1)</f>
        <v>39845</v>
      </c>
    </row>
    <row r="83" customFormat="false" ht="15" hidden="false" customHeight="true" outlineLevel="0" collapsed="false">
      <c r="A83" s="4" t="n">
        <v>82</v>
      </c>
      <c r="B83" s="4" t="s">
        <v>27</v>
      </c>
      <c r="C83" s="4" t="s">
        <v>54</v>
      </c>
      <c r="D83" s="23" t="n">
        <v>39863.9166666667</v>
      </c>
      <c r="E83" s="23" t="n">
        <v>39864.0416666667</v>
      </c>
      <c r="F83" s="23" t="n">
        <v>39867.2916666667</v>
      </c>
      <c r="G83" s="4" t="n">
        <f aca="false">YEAR(E83)</f>
        <v>2009</v>
      </c>
      <c r="H83" s="4" t="str">
        <f aca="false">IF(E83&lt;DATE(2015,1,1),"2005–2014",IF(E83&lt;DATE(2022,3,5),"2015 – Mar 2022","Mar 2022 – Oct 2026"))</f>
        <v>2005–2014</v>
      </c>
      <c r="I83" s="24" t="n">
        <v>134.013</v>
      </c>
      <c r="J83" s="24" t="n">
        <v>135.589</v>
      </c>
      <c r="K83" s="24" t="n">
        <v>127.785</v>
      </c>
      <c r="L83" s="25" t="n">
        <v>3.952</v>
      </c>
      <c r="M83" s="26" t="n">
        <v>157.581</v>
      </c>
      <c r="N83" s="4" t="s">
        <v>34</v>
      </c>
      <c r="O83" s="27" t="n">
        <v>-1.0048</v>
      </c>
      <c r="P83" s="28" t="n">
        <f aca="false">Summary!$C$6*O83</f>
        <v>-0.005024</v>
      </c>
      <c r="Q83" s="29" t="n">
        <f aca="false">Q82*(1+P83)</f>
        <v>10828.161241779</v>
      </c>
      <c r="R83" s="29" t="n">
        <f aca="false">MAX(R82,Q83)</f>
        <v>11159.0244617617</v>
      </c>
      <c r="S83" s="30" t="n">
        <f aca="false">Q83/R83-1</f>
        <v>-0.0296498337391831</v>
      </c>
      <c r="T83" s="31" t="n">
        <f aca="false">DATE(YEAR(F83),MONTH(F83),1)</f>
        <v>39845</v>
      </c>
    </row>
    <row r="84" customFormat="false" ht="15" hidden="false" customHeight="true" outlineLevel="0" collapsed="false">
      <c r="A84" s="4" t="n">
        <v>83</v>
      </c>
      <c r="B84" s="4" t="s">
        <v>27</v>
      </c>
      <c r="C84" s="4" t="s">
        <v>54</v>
      </c>
      <c r="D84" s="23" t="n">
        <v>39867.9166666667</v>
      </c>
      <c r="E84" s="23" t="n">
        <v>39868</v>
      </c>
      <c r="F84" s="23" t="n">
        <v>39868.1458333333</v>
      </c>
      <c r="G84" s="4" t="n">
        <f aca="false">YEAR(E84)</f>
        <v>2009</v>
      </c>
      <c r="H84" s="4" t="str">
        <f aca="false">IF(E84&lt;DATE(2015,1,1),"2005–2014",IF(E84&lt;DATE(2022,3,5),"2015 – Mar 2022","Mar 2022 – Oct 2026"))</f>
        <v>2005–2014</v>
      </c>
      <c r="I84" s="24" t="n">
        <v>136.636</v>
      </c>
      <c r="J84" s="24" t="n">
        <v>138.222</v>
      </c>
      <c r="K84" s="24" t="n">
        <v>130.948</v>
      </c>
      <c r="L84" s="25" t="n">
        <v>3.586</v>
      </c>
      <c r="M84" s="26" t="n">
        <v>158.615</v>
      </c>
      <c r="N84" s="4" t="s">
        <v>34</v>
      </c>
      <c r="O84" s="27" t="n">
        <v>-1.0047</v>
      </c>
      <c r="P84" s="28" t="n">
        <f aca="false">Summary!$C$6*O84</f>
        <v>-0.0050235</v>
      </c>
      <c r="Q84" s="29" t="n">
        <f aca="false">Q83*(1+P84)</f>
        <v>10773.7659737809</v>
      </c>
      <c r="R84" s="29" t="n">
        <f aca="false">MAX(R83,Q84)</f>
        <v>11159.0244617617</v>
      </c>
      <c r="S84" s="30" t="n">
        <f aca="false">Q84/R84-1</f>
        <v>-0.0345243877993942</v>
      </c>
      <c r="T84" s="31" t="n">
        <f aca="false">DATE(YEAR(F84),MONTH(F84),1)</f>
        <v>39845</v>
      </c>
    </row>
    <row r="85" customFormat="false" ht="15" hidden="false" customHeight="true" outlineLevel="0" collapsed="false">
      <c r="A85" s="4" t="n">
        <v>84</v>
      </c>
      <c r="B85" s="4" t="s">
        <v>28</v>
      </c>
      <c r="C85" s="4" t="s">
        <v>53</v>
      </c>
      <c r="D85" s="23" t="n">
        <v>39868.9166666667</v>
      </c>
      <c r="E85" s="23" t="n">
        <v>39869.4895833333</v>
      </c>
      <c r="F85" s="23" t="n">
        <v>39871.3333333333</v>
      </c>
      <c r="G85" s="4" t="n">
        <f aca="false">YEAR(E85)</f>
        <v>2009</v>
      </c>
      <c r="H85" s="4" t="str">
        <f aca="false">IF(E85&lt;DATE(2015,1,1),"2005–2014",IF(E85&lt;DATE(2022,3,5),"2015 – Mar 2022","Mar 2022 – Oct 2026"))</f>
        <v>2005–2014</v>
      </c>
      <c r="I85" s="24" t="n">
        <v>138.708</v>
      </c>
      <c r="J85" s="24" t="n">
        <v>137.106</v>
      </c>
      <c r="K85" s="24" t="n">
        <v>144.152</v>
      </c>
      <c r="L85" s="25" t="n">
        <v>3.398</v>
      </c>
      <c r="M85" s="26" t="n">
        <v>160.198</v>
      </c>
      <c r="N85" s="4" t="s">
        <v>35</v>
      </c>
      <c r="O85" s="27" t="n">
        <v>0.014</v>
      </c>
      <c r="P85" s="28" t="n">
        <f aca="false">Summary!$C$6*O85</f>
        <v>7E-005</v>
      </c>
      <c r="Q85" s="29" t="n">
        <f aca="false">Q84*(1+P85)</f>
        <v>10774.520137399</v>
      </c>
      <c r="R85" s="29" t="n">
        <f aca="false">MAX(R84,Q85)</f>
        <v>11159.0244617617</v>
      </c>
      <c r="S85" s="30" t="n">
        <f aca="false">Q85/R85-1</f>
        <v>-0.0344568045065401</v>
      </c>
      <c r="T85" s="31" t="n">
        <f aca="false">DATE(YEAR(F85),MONTH(F85),1)</f>
        <v>39845</v>
      </c>
    </row>
    <row r="86" customFormat="false" ht="15" hidden="false" customHeight="true" outlineLevel="0" collapsed="false">
      <c r="A86" s="4" t="n">
        <v>85</v>
      </c>
      <c r="B86" s="4" t="s">
        <v>27</v>
      </c>
      <c r="C86" s="4" t="s">
        <v>53</v>
      </c>
      <c r="D86" s="23" t="n">
        <v>39871.9166666667</v>
      </c>
      <c r="E86" s="23" t="n">
        <v>39873.8958333333</v>
      </c>
      <c r="F86" s="23" t="n">
        <v>39874.0208333333</v>
      </c>
      <c r="G86" s="4" t="n">
        <f aca="false">YEAR(E86)</f>
        <v>2009</v>
      </c>
      <c r="H86" s="4" t="str">
        <f aca="false">IF(E86&lt;DATE(2015,1,1),"2005–2014",IF(E86&lt;DATE(2022,3,5),"2015 – Mar 2022","Mar 2022 – Oct 2026"))</f>
        <v>2005–2014</v>
      </c>
      <c r="I86" s="24" t="n">
        <v>139.642</v>
      </c>
      <c r="J86" s="24" t="n">
        <v>138.032</v>
      </c>
      <c r="K86" s="24" t="n">
        <v>144.947</v>
      </c>
      <c r="L86" s="25" t="n">
        <v>3.296</v>
      </c>
      <c r="M86" s="26" t="n">
        <v>160.964</v>
      </c>
      <c r="N86" s="4" t="s">
        <v>34</v>
      </c>
      <c r="O86" s="27" t="n">
        <v>-1.0047</v>
      </c>
      <c r="P86" s="28" t="n">
        <f aca="false">Summary!$C$6*O86</f>
        <v>-0.0050235</v>
      </c>
      <c r="Q86" s="29" t="n">
        <f aca="false">Q85*(1+P86)</f>
        <v>10720.3943354888</v>
      </c>
      <c r="R86" s="29" t="n">
        <f aca="false">MAX(R85,Q86)</f>
        <v>11159.0244617617</v>
      </c>
      <c r="S86" s="30" t="n">
        <f aca="false">Q86/R86-1</f>
        <v>-0.0393072107491015</v>
      </c>
      <c r="T86" s="31" t="n">
        <f aca="false">DATE(YEAR(F86),MONTH(F86),1)</f>
        <v>39873</v>
      </c>
    </row>
    <row r="87" customFormat="false" ht="15" hidden="false" customHeight="true" outlineLevel="0" collapsed="false">
      <c r="A87" s="4" t="n">
        <v>86</v>
      </c>
      <c r="B87" s="4" t="s">
        <v>28</v>
      </c>
      <c r="C87" s="4" t="s">
        <v>54</v>
      </c>
      <c r="D87" s="23" t="n">
        <v>39874.9166666667</v>
      </c>
      <c r="E87" s="23" t="n">
        <v>39876.3020833333</v>
      </c>
      <c r="F87" s="23" t="n">
        <v>39876.5625</v>
      </c>
      <c r="G87" s="4" t="n">
        <f aca="false">YEAR(E87)</f>
        <v>2009</v>
      </c>
      <c r="H87" s="4" t="str">
        <f aca="false">IF(E87&lt;DATE(2015,1,1),"2005–2014",IF(E87&lt;DATE(2022,3,5),"2015 – Mar 2022","Mar 2022 – Oct 2026"))</f>
        <v>2005–2014</v>
      </c>
      <c r="I87" s="24" t="n">
        <v>138.726</v>
      </c>
      <c r="J87" s="24" t="n">
        <v>140.347</v>
      </c>
      <c r="K87" s="24" t="n">
        <v>133.271</v>
      </c>
      <c r="L87" s="25" t="n">
        <v>3.367</v>
      </c>
      <c r="M87" s="26" t="n">
        <v>162.045</v>
      </c>
      <c r="N87" s="4" t="s">
        <v>34</v>
      </c>
      <c r="O87" s="27" t="n">
        <v>-1.0046</v>
      </c>
      <c r="P87" s="28" t="n">
        <f aca="false">Summary!$C$6*O87</f>
        <v>-0.005023</v>
      </c>
      <c r="Q87" s="29" t="n">
        <f aca="false">Q86*(1+P87)</f>
        <v>10666.5457947417</v>
      </c>
      <c r="R87" s="29" t="n">
        <f aca="false">MAX(R86,Q87)</f>
        <v>11159.0244617617</v>
      </c>
      <c r="S87" s="30" t="n">
        <f aca="false">Q87/R87-1</f>
        <v>-0.0441327706295087</v>
      </c>
      <c r="T87" s="31" t="n">
        <f aca="false">DATE(YEAR(F87),MONTH(F87),1)</f>
        <v>39873</v>
      </c>
    </row>
    <row r="88" customFormat="false" ht="15" hidden="false" customHeight="true" outlineLevel="0" collapsed="false">
      <c r="A88" s="4" t="n">
        <v>87</v>
      </c>
      <c r="B88" s="4" t="s">
        <v>28</v>
      </c>
      <c r="C88" s="4" t="s">
        <v>53</v>
      </c>
      <c r="D88" s="23" t="n">
        <v>39876.9166666667</v>
      </c>
      <c r="E88" s="23" t="n">
        <v>39877.5833333333</v>
      </c>
      <c r="F88" s="23" t="n">
        <v>39878.4270833333</v>
      </c>
      <c r="G88" s="4" t="n">
        <f aca="false">YEAR(E88)</f>
        <v>2009</v>
      </c>
      <c r="H88" s="4" t="str">
        <f aca="false">IF(E88&lt;DATE(2015,1,1),"2005–2014",IF(E88&lt;DATE(2022,3,5),"2015 – Mar 2022","Mar 2022 – Oct 2026"))</f>
        <v>2005–2014</v>
      </c>
      <c r="I88" s="24" t="n">
        <v>138.822</v>
      </c>
      <c r="J88" s="24" t="n">
        <v>137.251</v>
      </c>
      <c r="K88" s="24" t="n">
        <v>144.156</v>
      </c>
      <c r="L88" s="25" t="n">
        <v>3.397</v>
      </c>
      <c r="M88" s="26" t="n">
        <v>157.012</v>
      </c>
      <c r="N88" s="4" t="s">
        <v>34</v>
      </c>
      <c r="O88" s="27" t="n">
        <v>-1.0048</v>
      </c>
      <c r="P88" s="28" t="n">
        <f aca="false">Summary!$C$6*O88</f>
        <v>-0.005024</v>
      </c>
      <c r="Q88" s="29" t="n">
        <f aca="false">Q87*(1+P88)</f>
        <v>10612.9570686689</v>
      </c>
      <c r="R88" s="29" t="n">
        <f aca="false">MAX(R87,Q88)</f>
        <v>11159.0244617617</v>
      </c>
      <c r="S88" s="30" t="n">
        <f aca="false">Q88/R88-1</f>
        <v>-0.0489350475898661</v>
      </c>
      <c r="T88" s="31" t="n">
        <f aca="false">DATE(YEAR(F88),MONTH(F88),1)</f>
        <v>39873</v>
      </c>
    </row>
    <row r="89" customFormat="false" ht="15" hidden="false" customHeight="true" outlineLevel="0" collapsed="false">
      <c r="A89" s="4" t="n">
        <v>88</v>
      </c>
      <c r="B89" s="4" t="s">
        <v>27</v>
      </c>
      <c r="C89" s="4" t="s">
        <v>53</v>
      </c>
      <c r="D89" s="23" t="n">
        <v>39878.9166666667</v>
      </c>
      <c r="E89" s="23" t="n">
        <v>39881.0416666667</v>
      </c>
      <c r="F89" s="23" t="n">
        <v>39881.375</v>
      </c>
      <c r="G89" s="4" t="n">
        <f aca="false">YEAR(E89)</f>
        <v>2009</v>
      </c>
      <c r="H89" s="4" t="str">
        <f aca="false">IF(E89&lt;DATE(2015,1,1),"2005–2014",IF(E89&lt;DATE(2022,3,5),"2015 – Mar 2022","Mar 2022 – Oct 2026"))</f>
        <v>2005–2014</v>
      </c>
      <c r="I89" s="24" t="n">
        <v>138.89</v>
      </c>
      <c r="J89" s="24" t="n">
        <v>137.355</v>
      </c>
      <c r="K89" s="24" t="n">
        <v>144.16</v>
      </c>
      <c r="L89" s="25" t="n">
        <v>3.434</v>
      </c>
      <c r="M89" s="26" t="n">
        <v>153.468</v>
      </c>
      <c r="N89" s="4" t="s">
        <v>34</v>
      </c>
      <c r="O89" s="27" t="n">
        <v>-1.0049</v>
      </c>
      <c r="P89" s="28" t="n">
        <f aca="false">Summary!$C$6*O89</f>
        <v>-0.0050245</v>
      </c>
      <c r="Q89" s="29" t="n">
        <f aca="false">Q88*(1+P89)</f>
        <v>10559.6322658774</v>
      </c>
      <c r="R89" s="29" t="n">
        <f aca="false">MAX(R88,Q89)</f>
        <v>11159.0244617617</v>
      </c>
      <c r="S89" s="30" t="n">
        <f aca="false">Q89/R89-1</f>
        <v>-0.0537136734432508</v>
      </c>
      <c r="T89" s="31" t="n">
        <f aca="false">DATE(YEAR(F89),MONTH(F89),1)</f>
        <v>39873</v>
      </c>
    </row>
    <row r="90" customFormat="false" ht="15" hidden="false" customHeight="true" outlineLevel="0" collapsed="false">
      <c r="A90" s="4" t="n">
        <v>89</v>
      </c>
      <c r="B90" s="4" t="s">
        <v>27</v>
      </c>
      <c r="C90" s="4" t="s">
        <v>54</v>
      </c>
      <c r="D90" s="23" t="n">
        <v>39888.9166666667</v>
      </c>
      <c r="E90" s="23" t="n">
        <v>39889.3020833333</v>
      </c>
      <c r="F90" s="23" t="n">
        <v>39892.6458333333</v>
      </c>
      <c r="G90" s="4" t="n">
        <f aca="false">YEAR(E90)</f>
        <v>2009</v>
      </c>
      <c r="H90" s="4" t="str">
        <f aca="false">IF(E90&lt;DATE(2015,1,1),"2005–2014",IF(E90&lt;DATE(2022,3,5),"2015 – Mar 2022","Mar 2022 – Oct 2026"))</f>
        <v>2005–2014</v>
      </c>
      <c r="I90" s="24" t="n">
        <v>138.684</v>
      </c>
      <c r="J90" s="24" t="n">
        <v>140.164</v>
      </c>
      <c r="K90" s="24" t="n">
        <v>133.254</v>
      </c>
      <c r="L90" s="25" t="n">
        <v>3.669</v>
      </c>
      <c r="M90" s="26" t="n">
        <v>148.017</v>
      </c>
      <c r="N90" s="4" t="s">
        <v>35</v>
      </c>
      <c r="O90" s="27" t="n">
        <v>0.0152</v>
      </c>
      <c r="P90" s="28" t="n">
        <f aca="false">Summary!$C$6*O90</f>
        <v>7.6E-005</v>
      </c>
      <c r="Q90" s="29" t="n">
        <f aca="false">Q89*(1+P90)</f>
        <v>10560.4347979296</v>
      </c>
      <c r="R90" s="29" t="n">
        <f aca="false">MAX(R89,Q90)</f>
        <v>11159.0244617617</v>
      </c>
      <c r="S90" s="30" t="n">
        <f aca="false">Q90/R90-1</f>
        <v>-0.0536417556824326</v>
      </c>
      <c r="T90" s="31" t="n">
        <f aca="false">DATE(YEAR(F90),MONTH(F90),1)</f>
        <v>39873</v>
      </c>
    </row>
    <row r="91" customFormat="false" ht="15" hidden="false" customHeight="true" outlineLevel="0" collapsed="false">
      <c r="A91" s="4" t="n">
        <v>90</v>
      </c>
      <c r="B91" s="4" t="s">
        <v>28</v>
      </c>
      <c r="C91" s="4" t="s">
        <v>54</v>
      </c>
      <c r="D91" s="23" t="n">
        <v>39923.9166666667</v>
      </c>
      <c r="E91" s="23" t="n">
        <v>39924.625</v>
      </c>
      <c r="F91" s="23" t="n">
        <v>39926.8229166667</v>
      </c>
      <c r="G91" s="4" t="n">
        <f aca="false">YEAR(E91)</f>
        <v>2009</v>
      </c>
      <c r="H91" s="4" t="str">
        <f aca="false">IF(E91&lt;DATE(2015,1,1),"2005–2014",IF(E91&lt;DATE(2022,3,5),"2015 – Mar 2022","Mar 2022 – Oct 2026"))</f>
        <v>2005–2014</v>
      </c>
      <c r="I91" s="24" t="n">
        <v>144.287</v>
      </c>
      <c r="J91" s="24" t="n">
        <v>145.603</v>
      </c>
      <c r="K91" s="24" t="n">
        <v>140.014</v>
      </c>
      <c r="L91" s="25" t="n">
        <v>3.246</v>
      </c>
      <c r="M91" s="26" t="n">
        <v>131.608</v>
      </c>
      <c r="N91" s="4" t="s">
        <v>35</v>
      </c>
      <c r="O91" s="27" t="n">
        <v>0.0171</v>
      </c>
      <c r="P91" s="28" t="n">
        <f aca="false">Summary!$C$6*O91</f>
        <v>8.55E-005</v>
      </c>
      <c r="Q91" s="29" t="n">
        <f aca="false">Q90*(1+P91)</f>
        <v>10561.3377151048</v>
      </c>
      <c r="R91" s="29" t="n">
        <f aca="false">MAX(R90,Q91)</f>
        <v>11159.0244617617</v>
      </c>
      <c r="S91" s="30" t="n">
        <f aca="false">Q91/R91-1</f>
        <v>-0.0535608420525435</v>
      </c>
      <c r="T91" s="31" t="n">
        <f aca="false">DATE(YEAR(F91),MONTH(F91),1)</f>
        <v>39904</v>
      </c>
    </row>
    <row r="92" customFormat="false" ht="15" hidden="false" customHeight="true" outlineLevel="0" collapsed="false">
      <c r="A92" s="4" t="n">
        <v>91</v>
      </c>
      <c r="B92" s="4" t="s">
        <v>27</v>
      </c>
      <c r="C92" s="4" t="s">
        <v>53</v>
      </c>
      <c r="D92" s="23" t="n">
        <v>39948.9166666667</v>
      </c>
      <c r="E92" s="23" t="n">
        <v>39951.1458333333</v>
      </c>
      <c r="F92" s="23" t="n">
        <v>39951.6979166667</v>
      </c>
      <c r="G92" s="4" t="n">
        <f aca="false">YEAR(E92)</f>
        <v>2009</v>
      </c>
      <c r="H92" s="4" t="str">
        <f aca="false">IF(E92&lt;DATE(2015,1,1),"2005–2014",IF(E92&lt;DATE(2022,3,5),"2015 – Mar 2022","Mar 2022 – Oct 2026"))</f>
        <v>2005–2014</v>
      </c>
      <c r="I92" s="24" t="n">
        <v>143.582</v>
      </c>
      <c r="J92" s="24" t="n">
        <v>142.336</v>
      </c>
      <c r="K92" s="24" t="n">
        <v>147.646</v>
      </c>
      <c r="L92" s="25" t="n">
        <v>3.261</v>
      </c>
      <c r="M92" s="26" t="n">
        <v>124.638</v>
      </c>
      <c r="N92" s="4" t="s">
        <v>33</v>
      </c>
      <c r="O92" s="27" t="n">
        <v>3.2606</v>
      </c>
      <c r="P92" s="28" t="n">
        <f aca="false">Summary!$C$6*O92</f>
        <v>0.016303</v>
      </c>
      <c r="Q92" s="29" t="n">
        <f aca="false">Q91*(1+P92)</f>
        <v>10733.5192038741</v>
      </c>
      <c r="R92" s="29" t="n">
        <f aca="false">MAX(R91,Q92)</f>
        <v>11159.0244617617</v>
      </c>
      <c r="S92" s="30" t="n">
        <f aca="false">Q92/R92-1</f>
        <v>-0.0381310444605262</v>
      </c>
      <c r="T92" s="31" t="n">
        <f aca="false">DATE(YEAR(F92),MONTH(F92),1)</f>
        <v>39934</v>
      </c>
    </row>
    <row r="93" customFormat="false" ht="15" hidden="false" customHeight="true" outlineLevel="0" collapsed="false">
      <c r="A93" s="4" t="n">
        <v>92</v>
      </c>
      <c r="B93" s="4" t="s">
        <v>28</v>
      </c>
      <c r="C93" s="4" t="s">
        <v>54</v>
      </c>
      <c r="D93" s="23" t="n">
        <v>40036.9166666667</v>
      </c>
      <c r="E93" s="23" t="n">
        <v>40037.59375</v>
      </c>
      <c r="F93" s="23" t="n">
        <v>40038.25</v>
      </c>
      <c r="G93" s="4" t="n">
        <f aca="false">YEAR(E93)</f>
        <v>2009</v>
      </c>
      <c r="H93" s="4" t="str">
        <f aca="false">IF(E93&lt;DATE(2015,1,1),"2005–2014",IF(E93&lt;DATE(2022,3,5),"2015 – Mar 2022","Mar 2022 – Oct 2026"))</f>
        <v>2005–2014</v>
      </c>
      <c r="I93" s="24" t="n">
        <v>159.147</v>
      </c>
      <c r="J93" s="24" t="n">
        <v>160.221</v>
      </c>
      <c r="K93" s="24" t="n">
        <v>155.382</v>
      </c>
      <c r="L93" s="25" t="n">
        <v>3.505</v>
      </c>
      <c r="M93" s="26" t="n">
        <v>107.408</v>
      </c>
      <c r="N93" s="4" t="s">
        <v>35</v>
      </c>
      <c r="O93" s="27" t="n">
        <v>0.0209</v>
      </c>
      <c r="P93" s="28" t="n">
        <f aca="false">Summary!$C$6*O93</f>
        <v>0.0001045</v>
      </c>
      <c r="Q93" s="29" t="n">
        <f aca="false">Q92*(1+P93)</f>
        <v>10734.6408566309</v>
      </c>
      <c r="R93" s="29" t="n">
        <f aca="false">MAX(R92,Q93)</f>
        <v>11159.0244617617</v>
      </c>
      <c r="S93" s="30" t="n">
        <f aca="false">Q93/R93-1</f>
        <v>-0.0380305291546723</v>
      </c>
      <c r="T93" s="31" t="n">
        <f aca="false">DATE(YEAR(F93),MONTH(F93),1)</f>
        <v>40026</v>
      </c>
    </row>
    <row r="94" customFormat="false" ht="15" hidden="false" customHeight="true" outlineLevel="0" collapsed="false">
      <c r="A94" s="4" t="n">
        <v>93</v>
      </c>
      <c r="B94" s="4" t="s">
        <v>27</v>
      </c>
      <c r="C94" s="4" t="s">
        <v>54</v>
      </c>
      <c r="D94" s="23" t="n">
        <v>40038.9166666667</v>
      </c>
      <c r="E94" s="23" t="n">
        <v>40039.2395833333</v>
      </c>
      <c r="F94" s="23" t="n">
        <v>40056.1354166667</v>
      </c>
      <c r="G94" s="4" t="n">
        <f aca="false">YEAR(E94)</f>
        <v>2009</v>
      </c>
      <c r="H94" s="4" t="str">
        <f aca="false">IF(E94&lt;DATE(2015,1,1),"2005–2014",IF(E94&lt;DATE(2022,3,5),"2015 – Mar 2022","Mar 2022 – Oct 2026"))</f>
        <v>2005–2014</v>
      </c>
      <c r="I94" s="24" t="n">
        <v>157.873</v>
      </c>
      <c r="J94" s="24" t="n">
        <v>158.991</v>
      </c>
      <c r="K94" s="24" t="n">
        <v>150.399</v>
      </c>
      <c r="L94" s="25" t="n">
        <v>6.687</v>
      </c>
      <c r="M94" s="26" t="n">
        <v>111.758</v>
      </c>
      <c r="N94" s="4" t="s">
        <v>33</v>
      </c>
      <c r="O94" s="27" t="n">
        <v>6.6874</v>
      </c>
      <c r="P94" s="28" t="n">
        <f aca="false">Summary!$C$6*O94</f>
        <v>0.033437</v>
      </c>
      <c r="Q94" s="29" t="n">
        <f aca="false">Q93*(1+P94)</f>
        <v>11093.5750429541</v>
      </c>
      <c r="R94" s="29" t="n">
        <f aca="false">MAX(R93,Q94)</f>
        <v>11159.0244617617</v>
      </c>
      <c r="S94" s="30" t="n">
        <f aca="false">Q94/R94-1</f>
        <v>-0.00586515595801718</v>
      </c>
      <c r="T94" s="31" t="n">
        <f aca="false">DATE(YEAR(F94),MONTH(F94),1)</f>
        <v>40026</v>
      </c>
    </row>
    <row r="95" customFormat="false" ht="15" hidden="false" customHeight="true" outlineLevel="0" collapsed="false">
      <c r="A95" s="4" t="n">
        <v>94</v>
      </c>
      <c r="B95" s="4" t="s">
        <v>27</v>
      </c>
      <c r="C95" s="4" t="s">
        <v>53</v>
      </c>
      <c r="D95" s="23" t="n">
        <v>40078.9166666667</v>
      </c>
      <c r="E95" s="23" t="n">
        <v>40079.3229166667</v>
      </c>
      <c r="F95" s="23" t="n">
        <v>40080.125</v>
      </c>
      <c r="G95" s="4" t="n">
        <f aca="false">YEAR(E95)</f>
        <v>2009</v>
      </c>
      <c r="H95" s="4" t="str">
        <f aca="false">IF(E95&lt;DATE(2015,1,1),"2005–2014",IF(E95&lt;DATE(2022,3,5),"2015 – Mar 2022","Mar 2022 – Oct 2026"))</f>
        <v>2005–2014</v>
      </c>
      <c r="I95" s="24" t="n">
        <v>148.885</v>
      </c>
      <c r="J95" s="24" t="n">
        <v>148.085</v>
      </c>
      <c r="K95" s="24" t="n">
        <v>152.363</v>
      </c>
      <c r="L95" s="25" t="n">
        <v>4.349</v>
      </c>
      <c r="M95" s="26" t="n">
        <v>79.982</v>
      </c>
      <c r="N95" s="4" t="s">
        <v>35</v>
      </c>
      <c r="O95" s="27" t="n">
        <v>0.0281</v>
      </c>
      <c r="P95" s="28" t="n">
        <f aca="false">Summary!$C$6*O95</f>
        <v>0.0001405</v>
      </c>
      <c r="Q95" s="29" t="n">
        <f aca="false">Q94*(1+P95)</f>
        <v>11095.1336902476</v>
      </c>
      <c r="R95" s="29" t="n">
        <f aca="false">MAX(R94,Q95)</f>
        <v>11159.0244617617</v>
      </c>
      <c r="S95" s="30" t="n">
        <f aca="false">Q95/R95-1</f>
        <v>-0.00572548001242923</v>
      </c>
      <c r="T95" s="31" t="n">
        <f aca="false">DATE(YEAR(F95),MONTH(F95),1)</f>
        <v>40057</v>
      </c>
    </row>
    <row r="96" customFormat="false" ht="15" hidden="false" customHeight="true" outlineLevel="0" collapsed="false">
      <c r="A96" s="4" t="n">
        <v>95</v>
      </c>
      <c r="B96" s="4" t="s">
        <v>27</v>
      </c>
      <c r="C96" s="4" t="s">
        <v>53</v>
      </c>
      <c r="D96" s="23" t="n">
        <v>40093.9166666667</v>
      </c>
      <c r="E96" s="23" t="n">
        <v>40099.3541666667</v>
      </c>
      <c r="F96" s="23" t="n">
        <v>40101.28125</v>
      </c>
      <c r="G96" s="4" t="n">
        <f aca="false">YEAR(E96)</f>
        <v>2009</v>
      </c>
      <c r="H96" s="4" t="str">
        <f aca="false">IF(E96&lt;DATE(2015,1,1),"2005–2014",IF(E96&lt;DATE(2022,3,5),"2015 – Mar 2022","Mar 2022 – Oct 2026"))</f>
        <v>2005–2014</v>
      </c>
      <c r="I96" s="24" t="n">
        <v>141.359</v>
      </c>
      <c r="J96" s="24" t="n">
        <v>140.527</v>
      </c>
      <c r="K96" s="24" t="n">
        <v>144.118</v>
      </c>
      <c r="L96" s="25" t="n">
        <v>3.316</v>
      </c>
      <c r="M96" s="26" t="n">
        <v>83.188</v>
      </c>
      <c r="N96" s="4" t="s">
        <v>33</v>
      </c>
      <c r="O96" s="27" t="n">
        <v>3.316</v>
      </c>
      <c r="P96" s="28" t="n">
        <f aca="false">Summary!$C$6*O96</f>
        <v>0.01658</v>
      </c>
      <c r="Q96" s="29" t="n">
        <f aca="false">Q95*(1+P96)</f>
        <v>11279.091006832</v>
      </c>
      <c r="R96" s="29" t="n">
        <f aca="false">MAX(R95,Q96)</f>
        <v>11279.091006832</v>
      </c>
      <c r="S96" s="30" t="n">
        <f aca="false">Q96/R96-1</f>
        <v>0</v>
      </c>
      <c r="T96" s="31" t="n">
        <f aca="false">DATE(YEAR(F96),MONTH(F96),1)</f>
        <v>40087</v>
      </c>
    </row>
    <row r="97" customFormat="false" ht="15" hidden="false" customHeight="true" outlineLevel="0" collapsed="false">
      <c r="A97" s="4" t="n">
        <v>96</v>
      </c>
      <c r="B97" s="4" t="s">
        <v>28</v>
      </c>
      <c r="C97" s="4" t="s">
        <v>54</v>
      </c>
      <c r="D97" s="23" t="n">
        <v>40116.9166666667</v>
      </c>
      <c r="E97" s="23" t="n">
        <v>40121.3020833333</v>
      </c>
      <c r="F97" s="23" t="n">
        <v>40121.3958333333</v>
      </c>
      <c r="G97" s="4" t="n">
        <f aca="false">YEAR(E97)</f>
        <v>2009</v>
      </c>
      <c r="H97" s="4" t="str">
        <f aca="false">IF(E97&lt;DATE(2015,1,1),"2005–2014",IF(E97&lt;DATE(2022,3,5),"2015 – Mar 2022","Mar 2022 – Oct 2026"))</f>
        <v>2005–2014</v>
      </c>
      <c r="I97" s="24" t="n">
        <v>149.036</v>
      </c>
      <c r="J97" s="24" t="n">
        <v>150.017</v>
      </c>
      <c r="K97" s="24" t="n">
        <v>145.263</v>
      </c>
      <c r="L97" s="25" t="n">
        <v>3.844</v>
      </c>
      <c r="M97" s="26" t="n">
        <v>98.16</v>
      </c>
      <c r="N97" s="4" t="s">
        <v>34</v>
      </c>
      <c r="O97" s="27" t="n">
        <v>-1.0076</v>
      </c>
      <c r="P97" s="28" t="n">
        <f aca="false">Summary!$C$6*O97</f>
        <v>-0.005038</v>
      </c>
      <c r="Q97" s="29" t="n">
        <f aca="false">Q96*(1+P97)</f>
        <v>11222.2669463395</v>
      </c>
      <c r="R97" s="29" t="n">
        <f aca="false">MAX(R96,Q97)</f>
        <v>11279.091006832</v>
      </c>
      <c r="S97" s="30" t="n">
        <f aca="false">Q97/R97-1</f>
        <v>-0.00503799999999999</v>
      </c>
      <c r="T97" s="31" t="n">
        <f aca="false">DATE(YEAR(F97),MONTH(F97),1)</f>
        <v>40118</v>
      </c>
    </row>
    <row r="98" customFormat="false" ht="15" hidden="false" customHeight="true" outlineLevel="0" collapsed="false">
      <c r="A98" s="4" t="n">
        <v>97</v>
      </c>
      <c r="B98" s="4" t="s">
        <v>28</v>
      </c>
      <c r="C98" s="4" t="s">
        <v>53</v>
      </c>
      <c r="D98" s="23" t="n">
        <v>40121.9166666667</v>
      </c>
      <c r="E98" s="23" t="n">
        <v>40122.28125</v>
      </c>
      <c r="F98" s="23" t="n">
        <v>40123.5625</v>
      </c>
      <c r="G98" s="4" t="n">
        <f aca="false">YEAR(E98)</f>
        <v>2009</v>
      </c>
      <c r="H98" s="4" t="str">
        <f aca="false">IF(E98&lt;DATE(2015,1,1),"2005–2014",IF(E98&lt;DATE(2022,3,5),"2015 – Mar 2022","Mar 2022 – Oct 2026"))</f>
        <v>2005–2014</v>
      </c>
      <c r="I98" s="24" t="n">
        <v>148.927</v>
      </c>
      <c r="J98" s="24" t="n">
        <v>147.899</v>
      </c>
      <c r="K98" s="24" t="n">
        <v>152.336</v>
      </c>
      <c r="L98" s="25" t="n">
        <v>3.316</v>
      </c>
      <c r="M98" s="26" t="n">
        <v>102.795</v>
      </c>
      <c r="N98" s="4" t="s">
        <v>35</v>
      </c>
      <c r="O98" s="27" t="n">
        <v>0.0219</v>
      </c>
      <c r="P98" s="28" t="n">
        <f aca="false">Summary!$C$6*O98</f>
        <v>0.0001095</v>
      </c>
      <c r="Q98" s="29" t="n">
        <f aca="false">Q97*(1+P98)</f>
        <v>11223.4957845702</v>
      </c>
      <c r="R98" s="29" t="n">
        <f aca="false">MAX(R97,Q98)</f>
        <v>11279.091006832</v>
      </c>
      <c r="S98" s="30" t="n">
        <f aca="false">Q98/R98-1</f>
        <v>-0.00492905166100011</v>
      </c>
      <c r="T98" s="31" t="n">
        <f aca="false">DATE(YEAR(F98),MONTH(F98),1)</f>
        <v>40118</v>
      </c>
    </row>
    <row r="99" customFormat="false" ht="15" hidden="false" customHeight="true" outlineLevel="0" collapsed="false">
      <c r="A99" s="4" t="n">
        <v>98</v>
      </c>
      <c r="B99" s="4" t="s">
        <v>27</v>
      </c>
      <c r="C99" s="4" t="s">
        <v>53</v>
      </c>
      <c r="D99" s="23" t="n">
        <v>40123.9166666667</v>
      </c>
      <c r="E99" s="23" t="n">
        <v>40127.21875</v>
      </c>
      <c r="F99" s="23" t="n">
        <v>40128.4375</v>
      </c>
      <c r="G99" s="4" t="n">
        <f aca="false">YEAR(E99)</f>
        <v>2009</v>
      </c>
      <c r="H99" s="4" t="str">
        <f aca="false">IF(E99&lt;DATE(2015,1,1),"2005–2014",IF(E99&lt;DATE(2022,3,5),"2015 – Mar 2022","Mar 2022 – Oct 2026"))</f>
        <v>2005–2014</v>
      </c>
      <c r="I99" s="24" t="n">
        <v>149.616</v>
      </c>
      <c r="J99" s="24" t="n">
        <v>148.605</v>
      </c>
      <c r="K99" s="24" t="n">
        <v>152.725</v>
      </c>
      <c r="L99" s="25" t="n">
        <v>3.075</v>
      </c>
      <c r="M99" s="26" t="n">
        <v>101.099</v>
      </c>
      <c r="N99" s="4" t="s">
        <v>35</v>
      </c>
      <c r="O99" s="27" t="n">
        <v>0.0223</v>
      </c>
      <c r="P99" s="28" t="n">
        <f aca="false">Summary!$C$6*O99</f>
        <v>0.0001115</v>
      </c>
      <c r="Q99" s="29" t="n">
        <f aca="false">Q98*(1+P99)</f>
        <v>11224.7472043501</v>
      </c>
      <c r="R99" s="29" t="n">
        <f aca="false">MAX(R98,Q99)</f>
        <v>11279.091006832</v>
      </c>
      <c r="S99" s="30" t="n">
        <f aca="false">Q99/R99-1</f>
        <v>-0.00481810125026028</v>
      </c>
      <c r="T99" s="31" t="n">
        <f aca="false">DATE(YEAR(F99),MONTH(F99),1)</f>
        <v>40118</v>
      </c>
    </row>
    <row r="100" customFormat="false" ht="15" hidden="false" customHeight="true" outlineLevel="0" collapsed="false">
      <c r="A100" s="4" t="n">
        <v>99</v>
      </c>
      <c r="B100" s="4" t="s">
        <v>27</v>
      </c>
      <c r="C100" s="4" t="s">
        <v>53</v>
      </c>
      <c r="D100" s="23" t="n">
        <v>40129.9166666667</v>
      </c>
      <c r="E100" s="23" t="n">
        <v>40130.1354166667</v>
      </c>
      <c r="F100" s="23" t="n">
        <v>40136.09375</v>
      </c>
      <c r="G100" s="4" t="n">
        <f aca="false">YEAR(E100)</f>
        <v>2009</v>
      </c>
      <c r="H100" s="4" t="str">
        <f aca="false">IF(E100&lt;DATE(2015,1,1),"2005–2014",IF(E100&lt;DATE(2022,3,5),"2015 – Mar 2022","Mar 2022 – Oct 2026"))</f>
        <v>2005–2014</v>
      </c>
      <c r="I100" s="24" t="n">
        <v>149.711</v>
      </c>
      <c r="J100" s="24" t="n">
        <v>148.784</v>
      </c>
      <c r="K100" s="24" t="n">
        <v>152.735</v>
      </c>
      <c r="L100" s="25" t="n">
        <v>3.262</v>
      </c>
      <c r="M100" s="26" t="n">
        <v>92.711</v>
      </c>
      <c r="N100" s="4" t="s">
        <v>34</v>
      </c>
      <c r="O100" s="27" t="n">
        <v>-1.0081</v>
      </c>
      <c r="P100" s="28" t="n">
        <f aca="false">Summary!$C$6*O100</f>
        <v>-0.0050405</v>
      </c>
      <c r="Q100" s="29" t="n">
        <f aca="false">Q99*(1+P100)</f>
        <v>11168.1688660666</v>
      </c>
      <c r="R100" s="29" t="n">
        <f aca="false">MAX(R99,Q100)</f>
        <v>11279.091006832</v>
      </c>
      <c r="S100" s="30" t="n">
        <f aca="false">Q100/R100-1</f>
        <v>-0.00983431561090842</v>
      </c>
      <c r="T100" s="31" t="n">
        <f aca="false">DATE(YEAR(F100),MONTH(F100),1)</f>
        <v>40118</v>
      </c>
    </row>
    <row r="101" customFormat="false" ht="15" hidden="false" customHeight="true" outlineLevel="0" collapsed="false">
      <c r="A101" s="4" t="n">
        <v>100</v>
      </c>
      <c r="B101" s="4" t="s">
        <v>27</v>
      </c>
      <c r="C101" s="4" t="s">
        <v>53</v>
      </c>
      <c r="D101" s="23" t="n">
        <v>40147.9166666667</v>
      </c>
      <c r="E101" s="23" t="n">
        <v>40148.03125</v>
      </c>
      <c r="F101" s="23" t="n">
        <v>40150.0729166667</v>
      </c>
      <c r="G101" s="4" t="n">
        <f aca="false">YEAR(E101)</f>
        <v>2009</v>
      </c>
      <c r="H101" s="4" t="str">
        <f aca="false">IF(E101&lt;DATE(2015,1,1),"2005–2014",IF(E101&lt;DATE(2022,3,5),"2015 – Mar 2022","Mar 2022 – Oct 2026"))</f>
        <v>2005–2014</v>
      </c>
      <c r="I101" s="24" t="n">
        <v>142.086</v>
      </c>
      <c r="J101" s="24" t="n">
        <v>141.264</v>
      </c>
      <c r="K101" s="24" t="n">
        <v>146.552</v>
      </c>
      <c r="L101" s="25" t="n">
        <v>5.435</v>
      </c>
      <c r="M101" s="26" t="n">
        <v>82.172</v>
      </c>
      <c r="N101" s="4" t="s">
        <v>33</v>
      </c>
      <c r="O101" s="27" t="n">
        <v>5.4347</v>
      </c>
      <c r="P101" s="28" t="n">
        <f aca="false">Summary!$C$6*O101</f>
        <v>0.0271735</v>
      </c>
      <c r="Q101" s="29" t="n">
        <f aca="false">Q100*(1+P101)</f>
        <v>11471.6471027487</v>
      </c>
      <c r="R101" s="29" t="n">
        <f aca="false">MAX(R100,Q101)</f>
        <v>11471.6471027487</v>
      </c>
      <c r="S101" s="30" t="n">
        <f aca="false">Q101/R101-1</f>
        <v>0</v>
      </c>
      <c r="T101" s="31" t="n">
        <f aca="false">DATE(YEAR(F101),MONTH(F101),1)</f>
        <v>40148</v>
      </c>
    </row>
    <row r="102" customFormat="false" ht="15" hidden="false" customHeight="true" outlineLevel="0" collapsed="false">
      <c r="A102" s="4" t="n">
        <v>101</v>
      </c>
      <c r="B102" s="4" t="s">
        <v>27</v>
      </c>
      <c r="C102" s="4" t="s">
        <v>54</v>
      </c>
      <c r="D102" s="23" t="n">
        <v>40169.9166666667</v>
      </c>
      <c r="E102" s="23" t="n">
        <v>40170.3958333333</v>
      </c>
      <c r="F102" s="23" t="n">
        <v>40175.5833333333</v>
      </c>
      <c r="G102" s="4" t="n">
        <f aca="false">YEAR(E102)</f>
        <v>2009</v>
      </c>
      <c r="H102" s="4" t="str">
        <f aca="false">IF(E102&lt;DATE(2015,1,1),"2005–2014",IF(E102&lt;DATE(2022,3,5),"2015 – Mar 2022","Mar 2022 – Oct 2026"))</f>
        <v>2005–2014</v>
      </c>
      <c r="I102" s="24" t="n">
        <v>146.524</v>
      </c>
      <c r="J102" s="24" t="n">
        <v>147.249</v>
      </c>
      <c r="K102" s="24" t="n">
        <v>144.307</v>
      </c>
      <c r="L102" s="25" t="n">
        <v>3.058</v>
      </c>
      <c r="M102" s="26" t="n">
        <v>72.481</v>
      </c>
      <c r="N102" s="4" t="s">
        <v>35</v>
      </c>
      <c r="O102" s="27" t="n">
        <v>0.031</v>
      </c>
      <c r="P102" s="28" t="n">
        <f aca="false">Summary!$C$6*O102</f>
        <v>0.000155</v>
      </c>
      <c r="Q102" s="29" t="n">
        <f aca="false">Q101*(1+P102)</f>
        <v>11473.4252080496</v>
      </c>
      <c r="R102" s="29" t="n">
        <f aca="false">MAX(R101,Q102)</f>
        <v>11473.4252080496</v>
      </c>
      <c r="S102" s="30" t="n">
        <f aca="false">Q102/R102-1</f>
        <v>0</v>
      </c>
      <c r="T102" s="31" t="n">
        <f aca="false">DATE(YEAR(F102),MONTH(F102),1)</f>
        <v>40148</v>
      </c>
    </row>
    <row r="103" customFormat="false" ht="15" hidden="false" customHeight="true" outlineLevel="0" collapsed="false">
      <c r="A103" s="4" t="n">
        <v>102</v>
      </c>
      <c r="B103" s="4" t="s">
        <v>27</v>
      </c>
      <c r="C103" s="4" t="s">
        <v>54</v>
      </c>
      <c r="D103" s="23" t="n">
        <v>40176.9166666667</v>
      </c>
      <c r="E103" s="23" t="n">
        <v>40177.2708333333</v>
      </c>
      <c r="F103" s="23" t="n">
        <v>40177.59375</v>
      </c>
      <c r="G103" s="4" t="n">
        <f aca="false">YEAR(E103)</f>
        <v>2009</v>
      </c>
      <c r="H103" s="4" t="str">
        <f aca="false">IF(E103&lt;DATE(2015,1,1),"2005–2014",IF(E103&lt;DATE(2022,3,5),"2015 – Mar 2022","Mar 2022 – Oct 2026"))</f>
        <v>2005–2014</v>
      </c>
      <c r="I103" s="24" t="n">
        <v>146.38</v>
      </c>
      <c r="J103" s="24" t="n">
        <v>146.998</v>
      </c>
      <c r="K103" s="24" t="n">
        <v>144.294</v>
      </c>
      <c r="L103" s="25" t="n">
        <v>3.377</v>
      </c>
      <c r="M103" s="26" t="n">
        <v>61.76</v>
      </c>
      <c r="N103" s="4" t="s">
        <v>34</v>
      </c>
      <c r="O103" s="27" t="n">
        <v>-1.0121</v>
      </c>
      <c r="P103" s="28" t="n">
        <f aca="false">Summary!$C$6*O103</f>
        <v>-0.0050605</v>
      </c>
      <c r="Q103" s="29" t="n">
        <f aca="false">Q102*(1+P103)</f>
        <v>11415.3639397843</v>
      </c>
      <c r="R103" s="29" t="n">
        <f aca="false">MAX(R102,Q103)</f>
        <v>11473.4252080496</v>
      </c>
      <c r="S103" s="30" t="n">
        <f aca="false">Q103/R103-1</f>
        <v>-0.00506050000000002</v>
      </c>
      <c r="T103" s="31" t="n">
        <f aca="false">DATE(YEAR(F103),MONTH(F103),1)</f>
        <v>40148</v>
      </c>
    </row>
    <row r="104" customFormat="false" ht="15" hidden="false" customHeight="true" outlineLevel="0" collapsed="false">
      <c r="A104" s="4" t="n">
        <v>103</v>
      </c>
      <c r="B104" s="4" t="s">
        <v>27</v>
      </c>
      <c r="C104" s="4" t="s">
        <v>54</v>
      </c>
      <c r="D104" s="23" t="n">
        <v>40186.9166666667</v>
      </c>
      <c r="E104" s="23" t="n">
        <v>40189.0520833333</v>
      </c>
      <c r="F104" s="23" t="n">
        <v>40189.40625</v>
      </c>
      <c r="G104" s="4" t="n">
        <f aca="false">YEAR(E104)</f>
        <v>2010</v>
      </c>
      <c r="H104" s="4" t="str">
        <f aca="false">IF(E104&lt;DATE(2015,1,1),"2005–2014",IF(E104&lt;DATE(2022,3,5),"2015 – Mar 2022","Mar 2022 – Oct 2026"))</f>
        <v>2005–2014</v>
      </c>
      <c r="I104" s="24" t="n">
        <v>148.399</v>
      </c>
      <c r="J104" s="24" t="n">
        <v>149.105</v>
      </c>
      <c r="K104" s="24" t="n">
        <v>145.884</v>
      </c>
      <c r="L104" s="25" t="n">
        <v>3.563</v>
      </c>
      <c r="M104" s="26" t="n">
        <v>70.579</v>
      </c>
      <c r="N104" s="4" t="s">
        <v>34</v>
      </c>
      <c r="O104" s="27" t="n">
        <v>-1.0106</v>
      </c>
      <c r="P104" s="28" t="n">
        <f aca="false">Summary!$C$6*O104</f>
        <v>-0.005053</v>
      </c>
      <c r="Q104" s="29" t="n">
        <f aca="false">Q103*(1+P104)</f>
        <v>11357.6821057965</v>
      </c>
      <c r="R104" s="29" t="n">
        <f aca="false">MAX(R103,Q104)</f>
        <v>11473.4252080496</v>
      </c>
      <c r="S104" s="30" t="n">
        <f aca="false">Q104/R104-1</f>
        <v>-0.0100879292935001</v>
      </c>
      <c r="T104" s="31" t="n">
        <f aca="false">DATE(YEAR(F104),MONTH(F104),1)</f>
        <v>40179</v>
      </c>
    </row>
    <row r="105" customFormat="false" ht="15" hidden="false" customHeight="true" outlineLevel="0" collapsed="false">
      <c r="A105" s="4" t="n">
        <v>104</v>
      </c>
      <c r="B105" s="4" t="s">
        <v>27</v>
      </c>
      <c r="C105" s="4" t="s">
        <v>54</v>
      </c>
      <c r="D105" s="23" t="n">
        <v>40189.9166666667</v>
      </c>
      <c r="E105" s="23" t="n">
        <v>40190.09375</v>
      </c>
      <c r="F105" s="23" t="n">
        <v>40191.3645833333</v>
      </c>
      <c r="G105" s="4" t="n">
        <f aca="false">YEAR(E105)</f>
        <v>2010</v>
      </c>
      <c r="H105" s="4" t="str">
        <f aca="false">IF(E105&lt;DATE(2015,1,1),"2005–2014",IF(E105&lt;DATE(2022,3,5),"2015 – Mar 2022","Mar 2022 – Oct 2026"))</f>
        <v>2005–2014</v>
      </c>
      <c r="I105" s="24" t="n">
        <v>148.278</v>
      </c>
      <c r="J105" s="24" t="n">
        <v>148.934</v>
      </c>
      <c r="K105" s="24" t="n">
        <v>145.878</v>
      </c>
      <c r="L105" s="25" t="n">
        <v>3.658</v>
      </c>
      <c r="M105" s="26" t="n">
        <v>65.606</v>
      </c>
      <c r="N105" s="4" t="s">
        <v>35</v>
      </c>
      <c r="O105" s="27" t="n">
        <v>0.0343</v>
      </c>
      <c r="P105" s="28" t="n">
        <f aca="false">Summary!$C$6*O105</f>
        <v>0.0001715</v>
      </c>
      <c r="Q105" s="29" t="n">
        <f aca="false">Q104*(1+P105)</f>
        <v>11359.6299482777</v>
      </c>
      <c r="R105" s="29" t="n">
        <f aca="false">MAX(R104,Q105)</f>
        <v>11473.4252080496</v>
      </c>
      <c r="S105" s="30" t="n">
        <f aca="false">Q105/R105-1</f>
        <v>-0.00991815937337393</v>
      </c>
      <c r="T105" s="31" t="n">
        <f aca="false">DATE(YEAR(F105),MONTH(F105),1)</f>
        <v>40179</v>
      </c>
    </row>
    <row r="106" customFormat="false" ht="15" hidden="false" customHeight="true" outlineLevel="0" collapsed="false">
      <c r="A106" s="4" t="n">
        <v>105</v>
      </c>
      <c r="B106" s="4" t="s">
        <v>28</v>
      </c>
      <c r="C106" s="4" t="s">
        <v>54</v>
      </c>
      <c r="D106" s="23" t="n">
        <v>40213.9166666667</v>
      </c>
      <c r="E106" s="23" t="n">
        <v>40214</v>
      </c>
      <c r="F106" s="23" t="n">
        <v>40214.5625</v>
      </c>
      <c r="G106" s="4" t="n">
        <f aca="false">YEAR(E106)</f>
        <v>2010</v>
      </c>
      <c r="H106" s="4" t="str">
        <f aca="false">IF(E106&lt;DATE(2015,1,1),"2005–2014",IF(E106&lt;DATE(2022,3,5),"2015 – Mar 2022","Mar 2022 – Oct 2026"))</f>
        <v>2005–2014</v>
      </c>
      <c r="I106" s="24" t="n">
        <v>141.05</v>
      </c>
      <c r="J106" s="24" t="n">
        <v>141.842</v>
      </c>
      <c r="K106" s="24" t="n">
        <v>137.248</v>
      </c>
      <c r="L106" s="25" t="n">
        <v>4.799</v>
      </c>
      <c r="M106" s="26" t="n">
        <v>79.22</v>
      </c>
      <c r="N106" s="4" t="s">
        <v>35</v>
      </c>
      <c r="O106" s="27" t="n">
        <v>0.0284</v>
      </c>
      <c r="P106" s="28" t="n">
        <f aca="false">Summary!$C$6*O106</f>
        <v>0.000142</v>
      </c>
      <c r="Q106" s="29" t="n">
        <f aca="false">Q105*(1+P106)</f>
        <v>11361.2430157303</v>
      </c>
      <c r="R106" s="29" t="n">
        <f aca="false">MAX(R105,Q106)</f>
        <v>11473.4252080496</v>
      </c>
      <c r="S106" s="30" t="n">
        <f aca="false">Q106/R106-1</f>
        <v>-0.00977756775200489</v>
      </c>
      <c r="T106" s="31" t="n">
        <f aca="false">DATE(YEAR(F106),MONTH(F106),1)</f>
        <v>40210</v>
      </c>
    </row>
    <row r="107" customFormat="false" ht="15" hidden="false" customHeight="true" outlineLevel="0" collapsed="false">
      <c r="A107" s="4" t="n">
        <v>106</v>
      </c>
      <c r="B107" s="4" t="s">
        <v>27</v>
      </c>
      <c r="C107" s="4" t="s">
        <v>54</v>
      </c>
      <c r="D107" s="23" t="n">
        <v>40214.9166666667</v>
      </c>
      <c r="E107" s="23" t="n">
        <v>40216.875</v>
      </c>
      <c r="F107" s="23" t="n">
        <v>40217.3541666667</v>
      </c>
      <c r="G107" s="4" t="n">
        <f aca="false">YEAR(E107)</f>
        <v>2010</v>
      </c>
      <c r="H107" s="4" t="str">
        <f aca="false">IF(E107&lt;DATE(2015,1,1),"2005–2014",IF(E107&lt;DATE(2022,3,5),"2015 – Mar 2022","Mar 2022 – Oct 2026"))</f>
        <v>2005–2014</v>
      </c>
      <c r="I107" s="24" t="n">
        <v>139.894</v>
      </c>
      <c r="J107" s="24" t="n">
        <v>140.722</v>
      </c>
      <c r="K107" s="24" t="n">
        <v>137.252</v>
      </c>
      <c r="L107" s="25" t="n">
        <v>3.189</v>
      </c>
      <c r="M107" s="26" t="n">
        <v>82.839</v>
      </c>
      <c r="N107" s="4" t="s">
        <v>35</v>
      </c>
      <c r="O107" s="27" t="n">
        <v>0.0272</v>
      </c>
      <c r="P107" s="28" t="n">
        <f aca="false">Summary!$C$6*O107</f>
        <v>0.000136</v>
      </c>
      <c r="Q107" s="29" t="n">
        <f aca="false">Q106*(1+P107)</f>
        <v>11362.7881447805</v>
      </c>
      <c r="R107" s="29" t="n">
        <f aca="false">MAX(R106,Q107)</f>
        <v>11473.4252080496</v>
      </c>
      <c r="S107" s="30" t="n">
        <f aca="false">Q107/R107-1</f>
        <v>-0.00964289750121916</v>
      </c>
      <c r="T107" s="31" t="n">
        <f aca="false">DATE(YEAR(F107),MONTH(F107),1)</f>
        <v>40210</v>
      </c>
    </row>
    <row r="108" customFormat="false" ht="15" hidden="false" customHeight="true" outlineLevel="0" collapsed="false">
      <c r="A108" s="4" t="n">
        <v>107</v>
      </c>
      <c r="B108" s="4" t="s">
        <v>28</v>
      </c>
      <c r="C108" s="4" t="s">
        <v>54</v>
      </c>
      <c r="D108" s="23" t="n">
        <v>40219.9166666667</v>
      </c>
      <c r="E108" s="23" t="n">
        <v>40220.8125</v>
      </c>
      <c r="F108" s="23" t="n">
        <v>40221.3333333333</v>
      </c>
      <c r="G108" s="4" t="n">
        <f aca="false">YEAR(E108)</f>
        <v>2010</v>
      </c>
      <c r="H108" s="4" t="str">
        <f aca="false">IF(E108&lt;DATE(2015,1,1),"2005–2014",IF(E108&lt;DATE(2022,3,5),"2015 – Mar 2022","Mar 2022 – Oct 2026"))</f>
        <v>2005–2014</v>
      </c>
      <c r="I108" s="24" t="n">
        <v>141</v>
      </c>
      <c r="J108" s="24" t="n">
        <v>141.777</v>
      </c>
      <c r="K108" s="24" t="n">
        <v>137.246</v>
      </c>
      <c r="L108" s="25" t="n">
        <v>4.831</v>
      </c>
      <c r="M108" s="26" t="n">
        <v>77.702</v>
      </c>
      <c r="N108" s="4" t="s">
        <v>34</v>
      </c>
      <c r="O108" s="27" t="n">
        <v>-1.0097</v>
      </c>
      <c r="P108" s="28" t="n">
        <f aca="false">Summary!$C$6*O108</f>
        <v>-0.0050485</v>
      </c>
      <c r="Q108" s="29" t="n">
        <f aca="false">Q107*(1+P108)</f>
        <v>11305.4231088315</v>
      </c>
      <c r="R108" s="29" t="n">
        <f aca="false">MAX(R107,Q108)</f>
        <v>11473.4252080496</v>
      </c>
      <c r="S108" s="30" t="n">
        <f aca="false">Q108/R108-1</f>
        <v>-0.0146427153331843</v>
      </c>
      <c r="T108" s="31" t="n">
        <f aca="false">DATE(YEAR(F108),MONTH(F108),1)</f>
        <v>40210</v>
      </c>
    </row>
    <row r="109" customFormat="false" ht="15" hidden="false" customHeight="true" outlineLevel="0" collapsed="false">
      <c r="A109" s="4" t="n">
        <v>108</v>
      </c>
      <c r="B109" s="4" t="s">
        <v>27</v>
      </c>
      <c r="C109" s="4" t="s">
        <v>53</v>
      </c>
      <c r="D109" s="23" t="n">
        <v>40221.9166666667</v>
      </c>
      <c r="E109" s="23" t="n">
        <v>40223.9166666667</v>
      </c>
      <c r="F109" s="23" t="n">
        <v>40227.5625</v>
      </c>
      <c r="G109" s="4" t="n">
        <f aca="false">YEAR(E109)</f>
        <v>2010</v>
      </c>
      <c r="H109" s="4" t="str">
        <f aca="false">IF(E109&lt;DATE(2015,1,1),"2005–2014",IF(E109&lt;DATE(2022,3,5),"2015 – Mar 2022","Mar 2022 – Oct 2026"))</f>
        <v>2005–2014</v>
      </c>
      <c r="I109" s="24" t="n">
        <v>141.218</v>
      </c>
      <c r="J109" s="24" t="n">
        <v>140.448</v>
      </c>
      <c r="K109" s="24" t="n">
        <v>143.722</v>
      </c>
      <c r="L109" s="25" t="n">
        <v>3.253</v>
      </c>
      <c r="M109" s="26" t="n">
        <v>76.981</v>
      </c>
      <c r="N109" s="4" t="s">
        <v>35</v>
      </c>
      <c r="O109" s="27" t="n">
        <v>0.0292</v>
      </c>
      <c r="P109" s="28" t="n">
        <f aca="false">Summary!$C$6*O109</f>
        <v>0.000146</v>
      </c>
      <c r="Q109" s="29" t="n">
        <f aca="false">Q108*(1+P109)</f>
        <v>11307.0737006054</v>
      </c>
      <c r="R109" s="29" t="n">
        <f aca="false">MAX(R108,Q109)</f>
        <v>11473.4252080496</v>
      </c>
      <c r="S109" s="30" t="n">
        <f aca="false">Q109/R109-1</f>
        <v>-0.014498853169623</v>
      </c>
      <c r="T109" s="31" t="n">
        <f aca="false">DATE(YEAR(F109),MONTH(F109),1)</f>
        <v>40210</v>
      </c>
    </row>
    <row r="110" customFormat="false" ht="15" hidden="false" customHeight="true" outlineLevel="0" collapsed="false">
      <c r="A110" s="4" t="n">
        <v>109</v>
      </c>
      <c r="B110" s="4" t="s">
        <v>27</v>
      </c>
      <c r="C110" s="4" t="s">
        <v>53</v>
      </c>
      <c r="D110" s="23" t="n">
        <v>40227.9166666667</v>
      </c>
      <c r="E110" s="23" t="n">
        <v>40228.3020833333</v>
      </c>
      <c r="F110" s="23" t="n">
        <v>40228.3958333333</v>
      </c>
      <c r="G110" s="4" t="n">
        <f aca="false">YEAR(E110)</f>
        <v>2010</v>
      </c>
      <c r="H110" s="4" t="str">
        <f aca="false">IF(E110&lt;DATE(2015,1,1),"2005–2014",IF(E110&lt;DATE(2022,3,5),"2015 – Mar 2022","Mar 2022 – Oct 2026"))</f>
        <v>2005–2014</v>
      </c>
      <c r="I110" s="24" t="n">
        <v>141.618</v>
      </c>
      <c r="J110" s="24" t="n">
        <v>140.92</v>
      </c>
      <c r="K110" s="24" t="n">
        <v>143.731</v>
      </c>
      <c r="L110" s="25" t="n">
        <v>3.026</v>
      </c>
      <c r="M110" s="26" t="n">
        <v>69.82</v>
      </c>
      <c r="N110" s="4" t="s">
        <v>34</v>
      </c>
      <c r="O110" s="27" t="n">
        <v>-1.0107</v>
      </c>
      <c r="P110" s="28" t="n">
        <f aca="false">Summary!$C$6*O110</f>
        <v>-0.0050535</v>
      </c>
      <c r="Q110" s="29" t="n">
        <f aca="false">Q109*(1+P110)</f>
        <v>11249.9334036594</v>
      </c>
      <c r="R110" s="29" t="n">
        <f aca="false">MAX(R109,Q110)</f>
        <v>11473.4252080496</v>
      </c>
      <c r="S110" s="30" t="n">
        <f aca="false">Q110/R110-1</f>
        <v>-0.0194790832151304</v>
      </c>
      <c r="T110" s="31" t="n">
        <f aca="false">DATE(YEAR(F110),MONTH(F110),1)</f>
        <v>40210</v>
      </c>
    </row>
    <row r="111" customFormat="false" ht="15" hidden="false" customHeight="true" outlineLevel="0" collapsed="false">
      <c r="A111" s="4" t="n">
        <v>110</v>
      </c>
      <c r="B111" s="4" t="s">
        <v>27</v>
      </c>
      <c r="C111" s="4" t="s">
        <v>53</v>
      </c>
      <c r="D111" s="23" t="n">
        <v>40228.9166666667</v>
      </c>
      <c r="E111" s="23" t="n">
        <v>40230.9583333333</v>
      </c>
      <c r="F111" s="23" t="n">
        <v>40231.6770833333</v>
      </c>
      <c r="G111" s="4" t="n">
        <f aca="false">YEAR(E111)</f>
        <v>2010</v>
      </c>
      <c r="H111" s="4" t="str">
        <f aca="false">IF(E111&lt;DATE(2015,1,1),"2005–2014",IF(E111&lt;DATE(2022,3,5),"2015 – Mar 2022","Mar 2022 – Oct 2026"))</f>
        <v>2005–2014</v>
      </c>
      <c r="I111" s="24" t="n">
        <v>141.608</v>
      </c>
      <c r="J111" s="24" t="n">
        <v>140.907</v>
      </c>
      <c r="K111" s="24" t="n">
        <v>143.73</v>
      </c>
      <c r="L111" s="25" t="n">
        <v>3.026</v>
      </c>
      <c r="M111" s="26" t="n">
        <v>70.149</v>
      </c>
      <c r="N111" s="4" t="s">
        <v>34</v>
      </c>
      <c r="O111" s="27" t="n">
        <v>-1.0107</v>
      </c>
      <c r="P111" s="28" t="n">
        <f aca="false">Summary!$C$6*O111</f>
        <v>-0.0050535</v>
      </c>
      <c r="Q111" s="29" t="n">
        <f aca="false">Q110*(1+P111)</f>
        <v>11193.081865204</v>
      </c>
      <c r="R111" s="29" t="n">
        <f aca="false">MAX(R110,Q111)</f>
        <v>11473.4252080496</v>
      </c>
      <c r="S111" s="30" t="n">
        <f aca="false">Q111/R111-1</f>
        <v>-0.0244341456681028</v>
      </c>
      <c r="T111" s="31" t="n">
        <f aca="false">DATE(YEAR(F111),MONTH(F111),1)</f>
        <v>40210</v>
      </c>
    </row>
    <row r="112" customFormat="false" ht="15" hidden="false" customHeight="true" outlineLevel="0" collapsed="false">
      <c r="A112" s="4" t="n">
        <v>111</v>
      </c>
      <c r="B112" s="4" t="s">
        <v>28</v>
      </c>
      <c r="C112" s="4" t="s">
        <v>54</v>
      </c>
      <c r="D112" s="23" t="n">
        <v>40275.9166666667</v>
      </c>
      <c r="E112" s="23" t="n">
        <v>40276.96875</v>
      </c>
      <c r="F112" s="23" t="n">
        <v>40277.2916666667</v>
      </c>
      <c r="G112" s="4" t="n">
        <f aca="false">YEAR(E112)</f>
        <v>2010</v>
      </c>
      <c r="H112" s="4" t="str">
        <f aca="false">IF(E112&lt;DATE(2015,1,1),"2005–2014",IF(E112&lt;DATE(2022,3,5),"2015 – Mar 2022","Mar 2022 – Oct 2026"))</f>
        <v>2005–2014</v>
      </c>
      <c r="I112" s="24" t="n">
        <v>142.849</v>
      </c>
      <c r="J112" s="24" t="n">
        <v>143.576</v>
      </c>
      <c r="K112" s="24" t="n">
        <v>139.194</v>
      </c>
      <c r="L112" s="25" t="n">
        <v>5.03</v>
      </c>
      <c r="M112" s="26" t="n">
        <v>72.665</v>
      </c>
      <c r="N112" s="4" t="s">
        <v>34</v>
      </c>
      <c r="O112" s="27" t="n">
        <v>-1.0103</v>
      </c>
      <c r="P112" s="28" t="n">
        <f aca="false">Summary!$C$6*O112</f>
        <v>-0.0050515</v>
      </c>
      <c r="Q112" s="29" t="n">
        <f aca="false">Q111*(1+P112)</f>
        <v>11136.5400121619</v>
      </c>
      <c r="R112" s="29" t="n">
        <f aca="false">MAX(R111,Q112)</f>
        <v>11473.4252080496</v>
      </c>
      <c r="S112" s="30" t="n">
        <f aca="false">Q112/R112-1</f>
        <v>-0.0293622165812604</v>
      </c>
      <c r="T112" s="31" t="n">
        <f aca="false">DATE(YEAR(F112),MONTH(F112),1)</f>
        <v>40269</v>
      </c>
    </row>
    <row r="113" customFormat="false" ht="15" hidden="false" customHeight="true" outlineLevel="0" collapsed="false">
      <c r="A113" s="4" t="n">
        <v>112</v>
      </c>
      <c r="B113" s="4" t="s">
        <v>27</v>
      </c>
      <c r="C113" s="4" t="s">
        <v>54</v>
      </c>
      <c r="D113" s="23" t="n">
        <v>40277.9166666667</v>
      </c>
      <c r="E113" s="23" t="n">
        <v>40280.0208333333</v>
      </c>
      <c r="F113" s="23" t="n">
        <v>40280.3229166667</v>
      </c>
      <c r="G113" s="4" t="n">
        <f aca="false">YEAR(E113)</f>
        <v>2010</v>
      </c>
      <c r="H113" s="4" t="str">
        <f aca="false">IF(E113&lt;DATE(2015,1,1),"2005–2014",IF(E113&lt;DATE(2022,3,5),"2015 – Mar 2022","Mar 2022 – Oct 2026"))</f>
        <v>2005–2014</v>
      </c>
      <c r="I113" s="24" t="n">
        <v>143.601</v>
      </c>
      <c r="J113" s="24" t="n">
        <v>144.328</v>
      </c>
      <c r="K113" s="24" t="n">
        <v>141.328</v>
      </c>
      <c r="L113" s="25" t="n">
        <v>3.126</v>
      </c>
      <c r="M113" s="26" t="n">
        <v>72.725</v>
      </c>
      <c r="N113" s="4" t="s">
        <v>34</v>
      </c>
      <c r="O113" s="27" t="n">
        <v>-1.0103</v>
      </c>
      <c r="P113" s="28" t="n">
        <f aca="false">Summary!$C$6*O113</f>
        <v>-0.0050515</v>
      </c>
      <c r="Q113" s="29" t="n">
        <f aca="false">Q112*(1+P113)</f>
        <v>11080.2837802905</v>
      </c>
      <c r="R113" s="29" t="n">
        <f aca="false">MAX(R112,Q113)</f>
        <v>11473.4252080496</v>
      </c>
      <c r="S113" s="30" t="n">
        <f aca="false">Q113/R113-1</f>
        <v>-0.0342653933442</v>
      </c>
      <c r="T113" s="31" t="n">
        <f aca="false">DATE(YEAR(F113),MONTH(F113),1)</f>
        <v>40269</v>
      </c>
    </row>
    <row r="114" customFormat="false" ht="15" hidden="false" customHeight="true" outlineLevel="0" collapsed="false">
      <c r="A114" s="4" t="n">
        <v>113</v>
      </c>
      <c r="B114" s="4" t="s">
        <v>28</v>
      </c>
      <c r="C114" s="4" t="s">
        <v>53</v>
      </c>
      <c r="D114" s="23" t="n">
        <v>40282.9166666667</v>
      </c>
      <c r="E114" s="23" t="n">
        <v>40284.1041666667</v>
      </c>
      <c r="F114" s="23" t="n">
        <v>40284.5</v>
      </c>
      <c r="G114" s="4" t="n">
        <f aca="false">YEAR(E114)</f>
        <v>2010</v>
      </c>
      <c r="H114" s="4" t="str">
        <f aca="false">IF(E114&lt;DATE(2015,1,1),"2005–2014",IF(E114&lt;DATE(2022,3,5),"2015 – Mar 2022","Mar 2022 – Oct 2026"))</f>
        <v>2005–2014</v>
      </c>
      <c r="I114" s="24" t="n">
        <v>142.914</v>
      </c>
      <c r="J114" s="24" t="n">
        <v>142.208</v>
      </c>
      <c r="K114" s="24" t="n">
        <v>145.712</v>
      </c>
      <c r="L114" s="25" t="n">
        <v>3.96</v>
      </c>
      <c r="M114" s="26" t="n">
        <v>70.639</v>
      </c>
      <c r="N114" s="4" t="s">
        <v>35</v>
      </c>
      <c r="O114" s="27" t="n">
        <v>0.0319</v>
      </c>
      <c r="P114" s="28" t="n">
        <f aca="false">Summary!$C$6*O114</f>
        <v>0.0001595</v>
      </c>
      <c r="Q114" s="29" t="n">
        <f aca="false">Q113*(1+P114)</f>
        <v>11082.0510855535</v>
      </c>
      <c r="R114" s="29" t="n">
        <f aca="false">MAX(R113,Q114)</f>
        <v>11473.4252080496</v>
      </c>
      <c r="S114" s="30" t="n">
        <f aca="false">Q114/R114-1</f>
        <v>-0.0341113586744383</v>
      </c>
      <c r="T114" s="31" t="n">
        <f aca="false">DATE(YEAR(F114),MONTH(F114),1)</f>
        <v>40269</v>
      </c>
    </row>
    <row r="115" customFormat="false" ht="15" hidden="false" customHeight="true" outlineLevel="0" collapsed="false">
      <c r="A115" s="4" t="n">
        <v>114</v>
      </c>
      <c r="B115" s="4" t="s">
        <v>28</v>
      </c>
      <c r="C115" s="4" t="s">
        <v>54</v>
      </c>
      <c r="D115" s="23" t="n">
        <v>40284.9166666667</v>
      </c>
      <c r="E115" s="23" t="n">
        <v>40288.2916666667</v>
      </c>
      <c r="F115" s="23" t="n">
        <v>40288.4270833333</v>
      </c>
      <c r="G115" s="4" t="n">
        <f aca="false">YEAR(E115)</f>
        <v>2010</v>
      </c>
      <c r="H115" s="4" t="str">
        <f aca="false">IF(E115&lt;DATE(2015,1,1),"2005–2014",IF(E115&lt;DATE(2022,3,5),"2015 – Mar 2022","Mar 2022 – Oct 2026"))</f>
        <v>2005–2014</v>
      </c>
      <c r="I115" s="24" t="n">
        <v>142.433</v>
      </c>
      <c r="J115" s="24" t="n">
        <v>143.171</v>
      </c>
      <c r="K115" s="24" t="n">
        <v>139.195</v>
      </c>
      <c r="L115" s="25" t="n">
        <v>4.386</v>
      </c>
      <c r="M115" s="26" t="n">
        <v>73.828</v>
      </c>
      <c r="N115" s="4" t="s">
        <v>34</v>
      </c>
      <c r="O115" s="27" t="n">
        <v>-1.0102</v>
      </c>
      <c r="P115" s="28" t="n">
        <f aca="false">Summary!$C$6*O115</f>
        <v>-0.005051</v>
      </c>
      <c r="Q115" s="29" t="n">
        <f aca="false">Q114*(1+P115)</f>
        <v>11026.0756455203</v>
      </c>
      <c r="R115" s="29" t="n">
        <f aca="false">MAX(R114,Q115)</f>
        <v>11473.4252080496</v>
      </c>
      <c r="S115" s="30" t="n">
        <f aca="false">Q115/R115-1</f>
        <v>-0.0389900622017737</v>
      </c>
      <c r="T115" s="31" t="n">
        <f aca="false">DATE(YEAR(F115),MONTH(F115),1)</f>
        <v>40269</v>
      </c>
    </row>
    <row r="116" customFormat="false" ht="15" hidden="false" customHeight="true" outlineLevel="0" collapsed="false">
      <c r="A116" s="4" t="n">
        <v>115</v>
      </c>
      <c r="B116" s="4" t="s">
        <v>28</v>
      </c>
      <c r="C116" s="4" t="s">
        <v>54</v>
      </c>
      <c r="D116" s="23" t="n">
        <v>40295.9166666667</v>
      </c>
      <c r="E116" s="23" t="n">
        <v>40297.6666666667</v>
      </c>
      <c r="F116" s="23" t="n">
        <v>40298.3645833333</v>
      </c>
      <c r="G116" s="4" t="n">
        <f aca="false">YEAR(E116)</f>
        <v>2010</v>
      </c>
      <c r="H116" s="4" t="str">
        <f aca="false">IF(E116&lt;DATE(2015,1,1),"2005–2014",IF(E116&lt;DATE(2022,3,5),"2015 – Mar 2022","Mar 2022 – Oct 2026"))</f>
        <v>2005–2014</v>
      </c>
      <c r="I116" s="24" t="n">
        <v>144.19</v>
      </c>
      <c r="J116" s="24" t="n">
        <v>144.986</v>
      </c>
      <c r="K116" s="24" t="n">
        <v>141.336</v>
      </c>
      <c r="L116" s="25" t="n">
        <v>3.584</v>
      </c>
      <c r="M116" s="26" t="n">
        <v>79.62</v>
      </c>
      <c r="N116" s="4" t="s">
        <v>34</v>
      </c>
      <c r="O116" s="27" t="n">
        <v>-1.0094</v>
      </c>
      <c r="P116" s="28" t="n">
        <f aca="false">Summary!$C$6*O116</f>
        <v>-0.005047</v>
      </c>
      <c r="Q116" s="29" t="n">
        <f aca="false">Q115*(1+P116)</f>
        <v>10970.4270417374</v>
      </c>
      <c r="R116" s="29" t="n">
        <f aca="false">MAX(R115,Q116)</f>
        <v>11473.4252080496</v>
      </c>
      <c r="S116" s="30" t="n">
        <f aca="false">Q116/R116-1</f>
        <v>-0.0438402793578414</v>
      </c>
      <c r="T116" s="31" t="n">
        <f aca="false">DATE(YEAR(F116),MONTH(F116),1)</f>
        <v>40269</v>
      </c>
    </row>
    <row r="117" customFormat="false" ht="15" hidden="false" customHeight="true" outlineLevel="0" collapsed="false">
      <c r="A117" s="4" t="n">
        <v>116</v>
      </c>
      <c r="B117" s="4" t="s">
        <v>28</v>
      </c>
      <c r="C117" s="4" t="s">
        <v>54</v>
      </c>
      <c r="D117" s="23" t="n">
        <v>40298.9166666667</v>
      </c>
      <c r="E117" s="23" t="n">
        <v>40301.53125</v>
      </c>
      <c r="F117" s="23" t="n">
        <v>40303.78125</v>
      </c>
      <c r="G117" s="4" t="n">
        <f aca="false">YEAR(E117)</f>
        <v>2010</v>
      </c>
      <c r="H117" s="4" t="str">
        <f aca="false">IF(E117&lt;DATE(2015,1,1),"2005–2014",IF(E117&lt;DATE(2022,3,5),"2015 – Mar 2022","Mar 2022 – Oct 2026"))</f>
        <v>2005–2014</v>
      </c>
      <c r="I117" s="24" t="n">
        <v>144.196</v>
      </c>
      <c r="J117" s="24" t="n">
        <v>144.995</v>
      </c>
      <c r="K117" s="24" t="n">
        <v>141.336</v>
      </c>
      <c r="L117" s="25" t="n">
        <v>3.579</v>
      </c>
      <c r="M117" s="26" t="n">
        <v>79.892</v>
      </c>
      <c r="N117" s="4" t="s">
        <v>33</v>
      </c>
      <c r="O117" s="27" t="n">
        <v>3.5793</v>
      </c>
      <c r="P117" s="28" t="n">
        <f aca="false">Summary!$C$6*O117</f>
        <v>0.0178965</v>
      </c>
      <c r="Q117" s="29" t="n">
        <f aca="false">Q116*(1+P117)</f>
        <v>11166.7592892899</v>
      </c>
      <c r="R117" s="29" t="n">
        <f aca="false">MAX(R116,Q117)</f>
        <v>11473.4252080496</v>
      </c>
      <c r="S117" s="30" t="n">
        <f aca="false">Q117/R117-1</f>
        <v>-0.0267283669173691</v>
      </c>
      <c r="T117" s="31" t="n">
        <f aca="false">DATE(YEAR(F117),MONTH(F117),1)</f>
        <v>40299</v>
      </c>
    </row>
    <row r="118" customFormat="false" ht="15" hidden="false" customHeight="true" outlineLevel="0" collapsed="false">
      <c r="A118" s="4" t="n">
        <v>117</v>
      </c>
      <c r="B118" s="4" t="s">
        <v>28</v>
      </c>
      <c r="C118" s="4" t="s">
        <v>54</v>
      </c>
      <c r="D118" s="23" t="n">
        <v>40333.9166666667</v>
      </c>
      <c r="E118" s="23" t="n">
        <v>40340.2916666667</v>
      </c>
      <c r="F118" s="23" t="n">
        <v>40343.3541666667</v>
      </c>
      <c r="G118" s="4" t="n">
        <f aca="false">YEAR(E118)</f>
        <v>2010</v>
      </c>
      <c r="H118" s="4" t="str">
        <f aca="false">IF(E118&lt;DATE(2015,1,1),"2005–2014",IF(E118&lt;DATE(2022,3,5),"2015 – Mar 2022","Mar 2022 – Oct 2026"))</f>
        <v>2005–2014</v>
      </c>
      <c r="I118" s="24" t="n">
        <v>134.977</v>
      </c>
      <c r="J118" s="24" t="n">
        <v>136.207</v>
      </c>
      <c r="K118" s="24" t="n">
        <v>129.515</v>
      </c>
      <c r="L118" s="25" t="n">
        <v>4.442</v>
      </c>
      <c r="M118" s="26" t="n">
        <v>122.979</v>
      </c>
      <c r="N118" s="4" t="s">
        <v>35</v>
      </c>
      <c r="O118" s="27" t="n">
        <v>0.0183</v>
      </c>
      <c r="P118" s="28" t="n">
        <f aca="false">Summary!$C$6*O118</f>
        <v>9.15E-005</v>
      </c>
      <c r="Q118" s="29" t="n">
        <f aca="false">Q117*(1+P118)</f>
        <v>11167.7810477648</v>
      </c>
      <c r="R118" s="29" t="n">
        <f aca="false">MAX(R117,Q118)</f>
        <v>11473.4252080496</v>
      </c>
      <c r="S118" s="30" t="n">
        <f aca="false">Q118/R118-1</f>
        <v>-0.0266393125629421</v>
      </c>
      <c r="T118" s="31" t="n">
        <f aca="false">DATE(YEAR(F118),MONTH(F118),1)</f>
        <v>40330</v>
      </c>
    </row>
    <row r="119" customFormat="false" ht="15" hidden="false" customHeight="true" outlineLevel="0" collapsed="false">
      <c r="A119" s="4" t="n">
        <v>118</v>
      </c>
      <c r="B119" s="4" t="s">
        <v>27</v>
      </c>
      <c r="C119" s="4" t="s">
        <v>54</v>
      </c>
      <c r="D119" s="23" t="n">
        <v>40343.9166666667</v>
      </c>
      <c r="E119" s="23" t="n">
        <v>40344.0729166667</v>
      </c>
      <c r="F119" s="23" t="n">
        <v>40352.3541666667</v>
      </c>
      <c r="G119" s="4" t="n">
        <f aca="false">YEAR(E119)</f>
        <v>2010</v>
      </c>
      <c r="H119" s="4" t="str">
        <f aca="false">IF(E119&lt;DATE(2015,1,1),"2005–2014",IF(E119&lt;DATE(2022,3,5),"2015 – Mar 2022","Mar 2022 – Oct 2026"))</f>
        <v>2005–2014</v>
      </c>
      <c r="I119" s="24" t="n">
        <v>134.898</v>
      </c>
      <c r="J119" s="24" t="n">
        <v>136.059</v>
      </c>
      <c r="K119" s="24" t="n">
        <v>129.507</v>
      </c>
      <c r="L119" s="25" t="n">
        <v>4.644</v>
      </c>
      <c r="M119" s="26" t="n">
        <v>116.096</v>
      </c>
      <c r="N119" s="4" t="s">
        <v>35</v>
      </c>
      <c r="O119" s="27" t="n">
        <v>0.0194</v>
      </c>
      <c r="P119" s="28" t="n">
        <f aca="false">Summary!$C$6*O119</f>
        <v>9.7E-005</v>
      </c>
      <c r="Q119" s="29" t="n">
        <f aca="false">Q118*(1+P119)</f>
        <v>11168.8643225265</v>
      </c>
      <c r="R119" s="29" t="n">
        <f aca="false">MAX(R118,Q119)</f>
        <v>11473.4252080496</v>
      </c>
      <c r="S119" s="30" t="n">
        <f aca="false">Q119/R119-1</f>
        <v>-0.0265448965762607</v>
      </c>
      <c r="T119" s="31" t="n">
        <f aca="false">DATE(YEAR(F119),MONTH(F119),1)</f>
        <v>40330</v>
      </c>
    </row>
    <row r="120" customFormat="false" ht="15" hidden="false" customHeight="true" outlineLevel="0" collapsed="false">
      <c r="A120" s="4" t="n">
        <v>119</v>
      </c>
      <c r="B120" s="4" t="s">
        <v>27</v>
      </c>
      <c r="C120" s="4" t="s">
        <v>54</v>
      </c>
      <c r="D120" s="23" t="n">
        <v>40352.9166666667</v>
      </c>
      <c r="E120" s="23" t="n">
        <v>40353.1770833333</v>
      </c>
      <c r="F120" s="23" t="n">
        <v>40357.1041666667</v>
      </c>
      <c r="G120" s="4" t="n">
        <f aca="false">YEAR(E120)</f>
        <v>2010</v>
      </c>
      <c r="H120" s="4" t="str">
        <f aca="false">IF(E120&lt;DATE(2015,1,1),"2005–2014",IF(E120&lt;DATE(2022,3,5),"2015 – Mar 2022","Mar 2022 – Oct 2026"))</f>
        <v>2005–2014</v>
      </c>
      <c r="I120" s="24" t="n">
        <v>134.736</v>
      </c>
      <c r="J120" s="24" t="n">
        <v>135.698</v>
      </c>
      <c r="K120" s="24" t="n">
        <v>129.482</v>
      </c>
      <c r="L120" s="25" t="n">
        <v>5.46</v>
      </c>
      <c r="M120" s="26" t="n">
        <v>96.212</v>
      </c>
      <c r="N120" s="4" t="s">
        <v>35</v>
      </c>
      <c r="O120" s="27" t="n">
        <v>0.0234</v>
      </c>
      <c r="P120" s="28" t="n">
        <f aca="false">Summary!$C$6*O120</f>
        <v>0.000117</v>
      </c>
      <c r="Q120" s="29" t="n">
        <f aca="false">Q119*(1+P120)</f>
        <v>11170.1710796522</v>
      </c>
      <c r="R120" s="29" t="n">
        <f aca="false">MAX(R119,Q120)</f>
        <v>11473.4252080496</v>
      </c>
      <c r="S120" s="30" t="n">
        <f aca="false">Q120/R120-1</f>
        <v>-0.0264310023291602</v>
      </c>
      <c r="T120" s="31" t="n">
        <f aca="false">DATE(YEAR(F120),MONTH(F120),1)</f>
        <v>40330</v>
      </c>
    </row>
    <row r="121" customFormat="false" ht="15" hidden="false" customHeight="true" outlineLevel="0" collapsed="false">
      <c r="A121" s="4" t="n">
        <v>120</v>
      </c>
      <c r="B121" s="4" t="s">
        <v>27</v>
      </c>
      <c r="C121" s="4" t="s">
        <v>54</v>
      </c>
      <c r="D121" s="23" t="n">
        <v>40373.9166666667</v>
      </c>
      <c r="E121" s="23" t="n">
        <v>40374.0833333333</v>
      </c>
      <c r="F121" s="23" t="n">
        <v>40374.4895833333</v>
      </c>
      <c r="G121" s="4" t="n">
        <f aca="false">YEAR(E121)</f>
        <v>2010</v>
      </c>
      <c r="H121" s="4" t="str">
        <f aca="false">IF(E121&lt;DATE(2015,1,1),"2005–2014",IF(E121&lt;DATE(2022,3,5),"2015 – Mar 2022","Mar 2022 – Oct 2026"))</f>
        <v>2005–2014</v>
      </c>
      <c r="I121" s="24" t="n">
        <v>134.714</v>
      </c>
      <c r="J121" s="24" t="n">
        <v>135.482</v>
      </c>
      <c r="K121" s="24" t="n">
        <v>132.382</v>
      </c>
      <c r="L121" s="25" t="n">
        <v>3.036</v>
      </c>
      <c r="M121" s="26" t="n">
        <v>76.831</v>
      </c>
      <c r="N121" s="4" t="s">
        <v>34</v>
      </c>
      <c r="O121" s="27" t="n">
        <v>-1.0098</v>
      </c>
      <c r="P121" s="28" t="n">
        <f aca="false">Summary!$C$6*O121</f>
        <v>-0.005049</v>
      </c>
      <c r="Q121" s="29" t="n">
        <f aca="false">Q120*(1+P121)</f>
        <v>11113.772885871</v>
      </c>
      <c r="R121" s="29" t="n">
        <f aca="false">MAX(R120,Q121)</f>
        <v>11473.4252080496</v>
      </c>
      <c r="S121" s="30" t="n">
        <f aca="false">Q121/R121-1</f>
        <v>-0.0313465521984003</v>
      </c>
      <c r="T121" s="31" t="n">
        <f aca="false">DATE(YEAR(F121),MONTH(F121),1)</f>
        <v>40360</v>
      </c>
    </row>
    <row r="122" customFormat="false" ht="15" hidden="false" customHeight="true" outlineLevel="0" collapsed="false">
      <c r="A122" s="4" t="n">
        <v>121</v>
      </c>
      <c r="B122" s="4" t="s">
        <v>27</v>
      </c>
      <c r="C122" s="4" t="s">
        <v>54</v>
      </c>
      <c r="D122" s="23" t="n">
        <v>40374.9166666667</v>
      </c>
      <c r="E122" s="23" t="n">
        <v>40375.2916666667</v>
      </c>
      <c r="F122" s="23" t="n">
        <v>40375.5833333333</v>
      </c>
      <c r="G122" s="4" t="n">
        <f aca="false">YEAR(E122)</f>
        <v>2010</v>
      </c>
      <c r="H122" s="4" t="str">
        <f aca="false">IF(E122&lt;DATE(2015,1,1),"2005–2014",IF(E122&lt;DATE(2022,3,5),"2015 – Mar 2022","Mar 2022 – Oct 2026"))</f>
        <v>2005–2014</v>
      </c>
      <c r="I122" s="24" t="n">
        <v>134.754</v>
      </c>
      <c r="J122" s="24" t="n">
        <v>135.513</v>
      </c>
      <c r="K122" s="24" t="n">
        <v>132.381</v>
      </c>
      <c r="L122" s="25" t="n">
        <v>3.127</v>
      </c>
      <c r="M122" s="26" t="n">
        <v>75.911</v>
      </c>
      <c r="N122" s="4" t="s">
        <v>33</v>
      </c>
      <c r="O122" s="27" t="n">
        <v>3.1266</v>
      </c>
      <c r="P122" s="28" t="n">
        <f aca="false">Summary!$C$6*O122</f>
        <v>0.015633</v>
      </c>
      <c r="Q122" s="29" t="n">
        <f aca="false">Q121*(1+P122)</f>
        <v>11287.5144973958</v>
      </c>
      <c r="R122" s="29" t="n">
        <f aca="false">MAX(R121,Q122)</f>
        <v>11473.4252080496</v>
      </c>
      <c r="S122" s="30" t="n">
        <f aca="false">Q122/R122-1</f>
        <v>-0.0162035928489179</v>
      </c>
      <c r="T122" s="31" t="n">
        <f aca="false">DATE(YEAR(F122),MONTH(F122),1)</f>
        <v>40360</v>
      </c>
    </row>
    <row r="123" customFormat="false" ht="15" hidden="false" customHeight="true" outlineLevel="0" collapsed="false">
      <c r="A123" s="4" t="n">
        <v>122</v>
      </c>
      <c r="B123" s="4" t="s">
        <v>27</v>
      </c>
      <c r="C123" s="4" t="s">
        <v>54</v>
      </c>
      <c r="D123" s="23" t="n">
        <v>40385.9166666667</v>
      </c>
      <c r="E123" s="23" t="n">
        <v>40386.1875</v>
      </c>
      <c r="F123" s="23" t="n">
        <v>40386.4166666667</v>
      </c>
      <c r="G123" s="4" t="n">
        <f aca="false">YEAR(E123)</f>
        <v>2010</v>
      </c>
      <c r="H123" s="4" t="str">
        <f aca="false">IF(E123&lt;DATE(2015,1,1),"2005–2014",IF(E123&lt;DATE(2022,3,5),"2015 – Mar 2022","Mar 2022 – Oct 2026"))</f>
        <v>2005–2014</v>
      </c>
      <c r="I123" s="24" t="n">
        <v>134.628</v>
      </c>
      <c r="J123" s="24" t="n">
        <v>135.437</v>
      </c>
      <c r="K123" s="24" t="n">
        <v>132.185</v>
      </c>
      <c r="L123" s="25" t="n">
        <v>3.02</v>
      </c>
      <c r="M123" s="26" t="n">
        <v>80.903</v>
      </c>
      <c r="N123" s="4" t="s">
        <v>34</v>
      </c>
      <c r="O123" s="27" t="n">
        <v>-1.0093</v>
      </c>
      <c r="P123" s="28" t="n">
        <f aca="false">Summary!$C$6*O123</f>
        <v>-0.0050465</v>
      </c>
      <c r="Q123" s="29" t="n">
        <f aca="false">Q122*(1+P123)</f>
        <v>11230.5520554847</v>
      </c>
      <c r="R123" s="29" t="n">
        <f aca="false">MAX(R122,Q123)</f>
        <v>11473.4252080496</v>
      </c>
      <c r="S123" s="30" t="n">
        <f aca="false">Q123/R123-1</f>
        <v>-0.0211683214176058</v>
      </c>
      <c r="T123" s="31" t="n">
        <f aca="false">DATE(YEAR(F123),MONTH(F123),1)</f>
        <v>40360</v>
      </c>
    </row>
    <row r="124" customFormat="false" ht="15" hidden="false" customHeight="true" outlineLevel="0" collapsed="false">
      <c r="A124" s="4" t="n">
        <v>123</v>
      </c>
      <c r="B124" s="4" t="s">
        <v>28</v>
      </c>
      <c r="C124" s="4" t="s">
        <v>53</v>
      </c>
      <c r="D124" s="23" t="n">
        <v>40386.9166666667</v>
      </c>
      <c r="E124" s="23" t="n">
        <v>40388.6666666667</v>
      </c>
      <c r="F124" s="23" t="n">
        <v>40389.40625</v>
      </c>
      <c r="G124" s="4" t="n">
        <f aca="false">YEAR(E124)</f>
        <v>2010</v>
      </c>
      <c r="H124" s="4" t="str">
        <f aca="false">IF(E124&lt;DATE(2015,1,1),"2005–2014",IF(E124&lt;DATE(2022,3,5),"2015 – Mar 2022","Mar 2022 – Oct 2026"))</f>
        <v>2005–2014</v>
      </c>
      <c r="I124" s="24" t="n">
        <v>135.31</v>
      </c>
      <c r="J124" s="24" t="n">
        <v>134.478</v>
      </c>
      <c r="K124" s="24" t="n">
        <v>138.232</v>
      </c>
      <c r="L124" s="25" t="n">
        <v>3.511</v>
      </c>
      <c r="M124" s="26" t="n">
        <v>83.237</v>
      </c>
      <c r="N124" s="4" t="s">
        <v>34</v>
      </c>
      <c r="O124" s="27" t="n">
        <v>-1.009</v>
      </c>
      <c r="P124" s="28" t="n">
        <f aca="false">Summary!$C$6*O124</f>
        <v>-0.005045</v>
      </c>
      <c r="Q124" s="29" t="n">
        <f aca="false">Q123*(1+P124)</f>
        <v>11173.8939203648</v>
      </c>
      <c r="R124" s="29" t="n">
        <f aca="false">MAX(R123,Q124)</f>
        <v>11473.4252080496</v>
      </c>
      <c r="S124" s="30" t="n">
        <f aca="false">Q124/R124-1</f>
        <v>-0.026106527236054</v>
      </c>
      <c r="T124" s="31" t="n">
        <f aca="false">DATE(YEAR(F124),MONTH(F124),1)</f>
        <v>40360</v>
      </c>
    </row>
    <row r="125" customFormat="false" ht="15" hidden="false" customHeight="true" outlineLevel="0" collapsed="false">
      <c r="A125" s="4" t="n">
        <v>124</v>
      </c>
      <c r="B125" s="4" t="s">
        <v>27</v>
      </c>
      <c r="C125" s="4" t="s">
        <v>53</v>
      </c>
      <c r="D125" s="23" t="n">
        <v>40389.9166666667</v>
      </c>
      <c r="E125" s="23" t="n">
        <v>40391.9166666667</v>
      </c>
      <c r="F125" s="23" t="n">
        <v>40396.5208333333</v>
      </c>
      <c r="G125" s="4" t="n">
        <f aca="false">YEAR(E125)</f>
        <v>2010</v>
      </c>
      <c r="H125" s="4" t="str">
        <f aca="false">IF(E125&lt;DATE(2015,1,1),"2005–2014",IF(E125&lt;DATE(2022,3,5),"2015 – Mar 2022","Mar 2022 – Oct 2026"))</f>
        <v>2005–2014</v>
      </c>
      <c r="I125" s="24" t="n">
        <v>135.716</v>
      </c>
      <c r="J125" s="24" t="n">
        <v>134.901</v>
      </c>
      <c r="K125" s="24" t="n">
        <v>138.235</v>
      </c>
      <c r="L125" s="25" t="n">
        <v>3.092</v>
      </c>
      <c r="M125" s="26" t="n">
        <v>81.463</v>
      </c>
      <c r="N125" s="4" t="s">
        <v>35</v>
      </c>
      <c r="O125" s="27" t="n">
        <v>0.0276</v>
      </c>
      <c r="P125" s="28" t="n">
        <f aca="false">Summary!$C$6*O125</f>
        <v>0.000138</v>
      </c>
      <c r="Q125" s="29" t="n">
        <f aca="false">Q124*(1+P125)</f>
        <v>11175.4359177258</v>
      </c>
      <c r="R125" s="29" t="n">
        <f aca="false">MAX(R124,Q125)</f>
        <v>11473.4252080496</v>
      </c>
      <c r="S125" s="30" t="n">
        <f aca="false">Q125/R125-1</f>
        <v>-0.0259721299368126</v>
      </c>
      <c r="T125" s="31" t="n">
        <f aca="false">DATE(YEAR(F125),MONTH(F125),1)</f>
        <v>40391</v>
      </c>
    </row>
    <row r="126" customFormat="false" ht="15" hidden="false" customHeight="true" outlineLevel="0" collapsed="false">
      <c r="A126" s="4" t="n">
        <v>125</v>
      </c>
      <c r="B126" s="4" t="s">
        <v>27</v>
      </c>
      <c r="C126" s="4" t="s">
        <v>53</v>
      </c>
      <c r="D126" s="23" t="n">
        <v>40396.9166666667</v>
      </c>
      <c r="E126" s="23" t="n">
        <v>40399.15625</v>
      </c>
      <c r="F126" s="23" t="n">
        <v>40400.125</v>
      </c>
      <c r="G126" s="4" t="n">
        <f aca="false">YEAR(E126)</f>
        <v>2010</v>
      </c>
      <c r="H126" s="4" t="str">
        <f aca="false">IF(E126&lt;DATE(2015,1,1),"2005–2014",IF(E126&lt;DATE(2022,3,5),"2015 – Mar 2022","Mar 2022 – Oct 2026"))</f>
        <v>2005–2014</v>
      </c>
      <c r="I126" s="24" t="n">
        <v>136.47</v>
      </c>
      <c r="J126" s="24" t="n">
        <v>135.699</v>
      </c>
      <c r="K126" s="24" t="n">
        <v>139.011</v>
      </c>
      <c r="L126" s="25" t="n">
        <v>3.296</v>
      </c>
      <c r="M126" s="26" t="n">
        <v>77.092</v>
      </c>
      <c r="N126" s="4" t="s">
        <v>34</v>
      </c>
      <c r="O126" s="27" t="n">
        <v>-1.0097</v>
      </c>
      <c r="P126" s="28" t="n">
        <f aca="false">Summary!$C$6*O126</f>
        <v>-0.0050485</v>
      </c>
      <c r="Q126" s="29" t="n">
        <f aca="false">Q125*(1+P126)</f>
        <v>11119.0167294952</v>
      </c>
      <c r="R126" s="29" t="n">
        <f aca="false">MAX(R125,Q126)</f>
        <v>11473.4252080496</v>
      </c>
      <c r="S126" s="30" t="n">
        <f aca="false">Q126/R126-1</f>
        <v>-0.0308895096388265</v>
      </c>
      <c r="T126" s="31" t="n">
        <f aca="false">DATE(YEAR(F126),MONTH(F126),1)</f>
        <v>40391</v>
      </c>
    </row>
    <row r="127" customFormat="false" ht="15" hidden="false" customHeight="true" outlineLevel="0" collapsed="false">
      <c r="A127" s="4" t="n">
        <v>126</v>
      </c>
      <c r="B127" s="4" t="s">
        <v>27</v>
      </c>
      <c r="C127" s="4" t="s">
        <v>53</v>
      </c>
      <c r="D127" s="23" t="n">
        <v>40410.9166666667</v>
      </c>
      <c r="E127" s="23" t="n">
        <v>40412.9583333333</v>
      </c>
      <c r="F127" s="23" t="n">
        <v>40413.46875</v>
      </c>
      <c r="G127" s="4" t="n">
        <f aca="false">YEAR(E127)</f>
        <v>2010</v>
      </c>
      <c r="H127" s="4" t="str">
        <f aca="false">IF(E127&lt;DATE(2015,1,1),"2005–2014",IF(E127&lt;DATE(2022,3,5),"2015 – Mar 2022","Mar 2022 – Oct 2026"))</f>
        <v>2005–2014</v>
      </c>
      <c r="I127" s="24" t="n">
        <v>133.033</v>
      </c>
      <c r="J127" s="24" t="n">
        <v>132.362</v>
      </c>
      <c r="K127" s="24" t="n">
        <v>135.272</v>
      </c>
      <c r="L127" s="25" t="n">
        <v>3.339</v>
      </c>
      <c r="M127" s="26" t="n">
        <v>67.064</v>
      </c>
      <c r="N127" s="4" t="s">
        <v>34</v>
      </c>
      <c r="O127" s="27" t="n">
        <v>-1.0112</v>
      </c>
      <c r="P127" s="28" t="n">
        <f aca="false">Summary!$C$6*O127</f>
        <v>-0.005056</v>
      </c>
      <c r="Q127" s="29" t="n">
        <f aca="false">Q126*(1+P127)</f>
        <v>11062.7989809109</v>
      </c>
      <c r="R127" s="29" t="n">
        <f aca="false">MAX(R126,Q127)</f>
        <v>11473.4252080496</v>
      </c>
      <c r="S127" s="30" t="n">
        <f aca="false">Q127/R127-1</f>
        <v>-0.0357893322780927</v>
      </c>
      <c r="T127" s="31" t="n">
        <f aca="false">DATE(YEAR(F127),MONTH(F127),1)</f>
        <v>40391</v>
      </c>
    </row>
    <row r="128" customFormat="false" ht="15" hidden="false" customHeight="true" outlineLevel="0" collapsed="false">
      <c r="A128" s="4" t="n">
        <v>127</v>
      </c>
      <c r="B128" s="4" t="s">
        <v>28</v>
      </c>
      <c r="C128" s="4" t="s">
        <v>54</v>
      </c>
      <c r="D128" s="23" t="n">
        <v>40414.9166666667</v>
      </c>
      <c r="E128" s="23" t="n">
        <v>40416.25</v>
      </c>
      <c r="F128" s="23" t="n">
        <v>40417.6354166667</v>
      </c>
      <c r="G128" s="4" t="n">
        <f aca="false">YEAR(E128)</f>
        <v>2010</v>
      </c>
      <c r="H128" s="4" t="str">
        <f aca="false">IF(E128&lt;DATE(2015,1,1),"2005–2014",IF(E128&lt;DATE(2022,3,5),"2015 – Mar 2022","Mar 2022 – Oct 2026"))</f>
        <v>2005–2014</v>
      </c>
      <c r="I128" s="24" t="n">
        <v>131.944</v>
      </c>
      <c r="J128" s="24" t="n">
        <v>132.66</v>
      </c>
      <c r="K128" s="24" t="n">
        <v>129.452</v>
      </c>
      <c r="L128" s="25" t="n">
        <v>3.48</v>
      </c>
      <c r="M128" s="26" t="n">
        <v>71.604</v>
      </c>
      <c r="N128" s="4" t="s">
        <v>35</v>
      </c>
      <c r="O128" s="27" t="n">
        <v>0.0314</v>
      </c>
      <c r="P128" s="28" t="n">
        <f aca="false">Summary!$C$6*O128</f>
        <v>0.000157</v>
      </c>
      <c r="Q128" s="29" t="n">
        <f aca="false">Q127*(1+P128)</f>
        <v>11064.5358403509</v>
      </c>
      <c r="R128" s="29" t="n">
        <f aca="false">MAX(R127,Q128)</f>
        <v>11473.4252080496</v>
      </c>
      <c r="S128" s="30" t="n">
        <f aca="false">Q128/R128-1</f>
        <v>-0.0356379512032603</v>
      </c>
      <c r="T128" s="31" t="n">
        <f aca="false">DATE(YEAR(F128),MONTH(F128),1)</f>
        <v>40391</v>
      </c>
    </row>
    <row r="129" customFormat="false" ht="15" hidden="false" customHeight="true" outlineLevel="0" collapsed="false">
      <c r="A129" s="4" t="n">
        <v>128</v>
      </c>
      <c r="B129" s="4" t="s">
        <v>28</v>
      </c>
      <c r="C129" s="4" t="s">
        <v>53</v>
      </c>
      <c r="D129" s="23" t="n">
        <v>40424.9166666667</v>
      </c>
      <c r="E129" s="23" t="n">
        <v>40427.375</v>
      </c>
      <c r="F129" s="23" t="n">
        <v>40428.4791666667</v>
      </c>
      <c r="G129" s="4" t="n">
        <f aca="false">YEAR(E129)</f>
        <v>2010</v>
      </c>
      <c r="H129" s="4" t="str">
        <f aca="false">IF(E129&lt;DATE(2015,1,1),"2005–2014",IF(E129&lt;DATE(2022,3,5),"2015 – Mar 2022","Mar 2022 – Oct 2026"))</f>
        <v>2005–2014</v>
      </c>
      <c r="I129" s="24" t="n">
        <v>129.36</v>
      </c>
      <c r="J129" s="24" t="n">
        <v>128.604</v>
      </c>
      <c r="K129" s="24" t="n">
        <v>131.829</v>
      </c>
      <c r="L129" s="25" t="n">
        <v>3.263</v>
      </c>
      <c r="M129" s="26" t="n">
        <v>75.66</v>
      </c>
      <c r="N129" s="4" t="s">
        <v>34</v>
      </c>
      <c r="O129" s="27" t="n">
        <v>-1.0099</v>
      </c>
      <c r="P129" s="28" t="n">
        <f aca="false">Summary!$C$6*O129</f>
        <v>-0.0050495</v>
      </c>
      <c r="Q129" s="29" t="n">
        <f aca="false">Q128*(1+P129)</f>
        <v>11008.665466625</v>
      </c>
      <c r="R129" s="29" t="n">
        <f aca="false">MAX(R128,Q129)</f>
        <v>11473.4252080496</v>
      </c>
      <c r="S129" s="30" t="n">
        <f aca="false">Q129/R129-1</f>
        <v>-0.0405074973686596</v>
      </c>
      <c r="T129" s="31" t="n">
        <f aca="false">DATE(YEAR(F129),MONTH(F129),1)</f>
        <v>40422</v>
      </c>
    </row>
    <row r="130" customFormat="false" ht="15" hidden="false" customHeight="true" outlineLevel="0" collapsed="false">
      <c r="A130" s="4" t="n">
        <v>129</v>
      </c>
      <c r="B130" s="4" t="s">
        <v>28</v>
      </c>
      <c r="C130" s="4" t="s">
        <v>53</v>
      </c>
      <c r="D130" s="23" t="n">
        <v>40429.9166666667</v>
      </c>
      <c r="E130" s="23" t="n">
        <v>40430.25</v>
      </c>
      <c r="F130" s="23" t="n">
        <v>40435</v>
      </c>
      <c r="G130" s="4" t="n">
        <f aca="false">YEAR(E130)</f>
        <v>2010</v>
      </c>
      <c r="H130" s="4" t="str">
        <f aca="false">IF(E130&lt;DATE(2015,1,1),"2005–2014",IF(E130&lt;DATE(2022,3,5),"2015 – Mar 2022","Mar 2022 – Oct 2026"))</f>
        <v>2005–2014</v>
      </c>
      <c r="I130" s="24" t="n">
        <v>129.204</v>
      </c>
      <c r="J130" s="24" t="n">
        <v>128.45</v>
      </c>
      <c r="K130" s="24" t="n">
        <v>131.829</v>
      </c>
      <c r="L130" s="25" t="n">
        <v>3.484</v>
      </c>
      <c r="M130" s="26" t="n">
        <v>75.354</v>
      </c>
      <c r="N130" s="4" t="s">
        <v>34</v>
      </c>
      <c r="O130" s="27" t="n">
        <v>-1.01</v>
      </c>
      <c r="P130" s="28" t="n">
        <f aca="false">Summary!$C$6*O130</f>
        <v>-0.00505</v>
      </c>
      <c r="Q130" s="29" t="n">
        <f aca="false">Q129*(1+P130)</f>
        <v>10953.0717060186</v>
      </c>
      <c r="R130" s="29" t="n">
        <f aca="false">MAX(R129,Q130)</f>
        <v>11473.4252080496</v>
      </c>
      <c r="S130" s="30" t="n">
        <f aca="false">Q130/R130-1</f>
        <v>-0.0453529345069478</v>
      </c>
      <c r="T130" s="31" t="n">
        <f aca="false">DATE(YEAR(F130),MONTH(F130),1)</f>
        <v>40422</v>
      </c>
    </row>
    <row r="131" customFormat="false" ht="15" hidden="false" customHeight="true" outlineLevel="0" collapsed="false">
      <c r="A131" s="4" t="n">
        <v>130</v>
      </c>
      <c r="B131" s="4" t="s">
        <v>27</v>
      </c>
      <c r="C131" s="4" t="s">
        <v>53</v>
      </c>
      <c r="D131" s="23" t="n">
        <v>40443.9166666667</v>
      </c>
      <c r="E131" s="23" t="n">
        <v>40444.0729166667</v>
      </c>
      <c r="F131" s="23" t="n">
        <v>40445.4166666667</v>
      </c>
      <c r="G131" s="4" t="n">
        <f aca="false">YEAR(E131)</f>
        <v>2010</v>
      </c>
      <c r="H131" s="4" t="str">
        <f aca="false">IF(E131&lt;DATE(2015,1,1),"2005–2014",IF(E131&lt;DATE(2022,3,5),"2015 – Mar 2022","Mar 2022 – Oct 2026"))</f>
        <v>2005–2014</v>
      </c>
      <c r="I131" s="24" t="n">
        <v>132.372</v>
      </c>
      <c r="J131" s="24" t="n">
        <v>131.635</v>
      </c>
      <c r="K131" s="24" t="n">
        <v>134.823</v>
      </c>
      <c r="L131" s="25" t="n">
        <v>3.323</v>
      </c>
      <c r="M131" s="26" t="n">
        <v>73.75</v>
      </c>
      <c r="N131" s="4" t="s">
        <v>35</v>
      </c>
      <c r="O131" s="27" t="n">
        <v>0.0305</v>
      </c>
      <c r="P131" s="28" t="n">
        <f aca="false">Summary!$C$6*O131</f>
        <v>0.0001525</v>
      </c>
      <c r="Q131" s="29" t="n">
        <f aca="false">Q130*(1+P131)</f>
        <v>10954.7420494537</v>
      </c>
      <c r="R131" s="29" t="n">
        <f aca="false">MAX(R130,Q131)</f>
        <v>11473.4252080496</v>
      </c>
      <c r="S131" s="30" t="n">
        <f aca="false">Q131/R131-1</f>
        <v>-0.0452073508294602</v>
      </c>
      <c r="T131" s="31" t="n">
        <f aca="false">DATE(YEAR(F131),MONTH(F131),1)</f>
        <v>40422</v>
      </c>
    </row>
    <row r="132" customFormat="false" ht="15" hidden="false" customHeight="true" outlineLevel="0" collapsed="false">
      <c r="A132" s="4" t="n">
        <v>131</v>
      </c>
      <c r="B132" s="4" t="s">
        <v>28</v>
      </c>
      <c r="C132" s="4" t="s">
        <v>53</v>
      </c>
      <c r="D132" s="23" t="n">
        <v>40445.9166666667</v>
      </c>
      <c r="E132" s="23" t="n">
        <v>40449.5625</v>
      </c>
      <c r="F132" s="23" t="n">
        <v>40451.5208333333</v>
      </c>
      <c r="G132" s="4" t="n">
        <f aca="false">YEAR(E132)</f>
        <v>2010</v>
      </c>
      <c r="H132" s="4" t="str">
        <f aca="false">IF(E132&lt;DATE(2015,1,1),"2005–2014",IF(E132&lt;DATE(2022,3,5),"2015 – Mar 2022","Mar 2022 – Oct 2026"))</f>
        <v>2005–2014</v>
      </c>
      <c r="I132" s="24" t="n">
        <v>132.318</v>
      </c>
      <c r="J132" s="24" t="n">
        <v>131.613</v>
      </c>
      <c r="K132" s="24" t="n">
        <v>134.827</v>
      </c>
      <c r="L132" s="25" t="n">
        <v>3.558</v>
      </c>
      <c r="M132" s="26" t="n">
        <v>70.501</v>
      </c>
      <c r="N132" s="4" t="s">
        <v>34</v>
      </c>
      <c r="O132" s="27" t="n">
        <v>-1.0106</v>
      </c>
      <c r="P132" s="28" t="n">
        <f aca="false">Summary!$C$6*O132</f>
        <v>-0.005053</v>
      </c>
      <c r="Q132" s="29" t="n">
        <f aca="false">Q131*(1+P132)</f>
        <v>10899.3877378778</v>
      </c>
      <c r="R132" s="29" t="n">
        <f aca="false">MAX(R131,Q132)</f>
        <v>11473.4252080496</v>
      </c>
      <c r="S132" s="30" t="n">
        <f aca="false">Q132/R132-1</f>
        <v>-0.0500319180857188</v>
      </c>
      <c r="T132" s="31" t="n">
        <f aca="false">DATE(YEAR(F132),MONTH(F132),1)</f>
        <v>40422</v>
      </c>
    </row>
    <row r="133" customFormat="false" ht="15" hidden="false" customHeight="true" outlineLevel="0" collapsed="false">
      <c r="A133" s="4" t="n">
        <v>132</v>
      </c>
      <c r="B133" s="4" t="s">
        <v>28</v>
      </c>
      <c r="C133" s="4" t="s">
        <v>54</v>
      </c>
      <c r="D133" s="23" t="n">
        <v>40451.9166666667</v>
      </c>
      <c r="E133" s="23" t="n">
        <v>40455.0729166667</v>
      </c>
      <c r="F133" s="23" t="n">
        <v>40455.9583333333</v>
      </c>
      <c r="G133" s="4" t="n">
        <f aca="false">YEAR(E133)</f>
        <v>2010</v>
      </c>
      <c r="H133" s="4" t="str">
        <f aca="false">IF(E133&lt;DATE(2015,1,1),"2005–2014",IF(E133&lt;DATE(2022,3,5),"2015 – Mar 2022","Mar 2022 – Oct 2026"))</f>
        <v>2005–2014</v>
      </c>
      <c r="I133" s="24" t="n">
        <v>132.303</v>
      </c>
      <c r="J133" s="24" t="n">
        <v>132.975</v>
      </c>
      <c r="K133" s="24" t="n">
        <v>129.72</v>
      </c>
      <c r="L133" s="25" t="n">
        <v>3.843</v>
      </c>
      <c r="M133" s="26" t="n">
        <v>67.217</v>
      </c>
      <c r="N133" s="4" t="s">
        <v>35</v>
      </c>
      <c r="O133" s="27" t="n">
        <v>0.0335</v>
      </c>
      <c r="P133" s="28" t="n">
        <f aca="false">Summary!$C$6*O133</f>
        <v>0.0001675</v>
      </c>
      <c r="Q133" s="29" t="n">
        <f aca="false">Q132*(1+P133)</f>
        <v>10901.2133853239</v>
      </c>
      <c r="R133" s="29" t="n">
        <f aca="false">MAX(R132,Q133)</f>
        <v>11473.4252080496</v>
      </c>
      <c r="S133" s="30" t="n">
        <f aca="false">Q133/R133-1</f>
        <v>-0.0498727984319981</v>
      </c>
      <c r="T133" s="31" t="n">
        <f aca="false">DATE(YEAR(F133),MONTH(F133),1)</f>
        <v>40452</v>
      </c>
    </row>
    <row r="134" customFormat="false" ht="15" hidden="false" customHeight="true" outlineLevel="0" collapsed="false">
      <c r="A134" s="4" t="n">
        <v>133</v>
      </c>
      <c r="B134" s="4" t="s">
        <v>27</v>
      </c>
      <c r="C134" s="4" t="s">
        <v>54</v>
      </c>
      <c r="D134" s="23" t="n">
        <v>40456.9166666667</v>
      </c>
      <c r="E134" s="23" t="n">
        <v>40457.0104166667</v>
      </c>
      <c r="F134" s="23" t="n">
        <v>40463.3645833333</v>
      </c>
      <c r="G134" s="4" t="n">
        <f aca="false">YEAR(E134)</f>
        <v>2010</v>
      </c>
      <c r="H134" s="4" t="str">
        <f aca="false">IF(E134&lt;DATE(2015,1,1),"2005–2014",IF(E134&lt;DATE(2022,3,5),"2015 – Mar 2022","Mar 2022 – Oct 2026"))</f>
        <v>2005–2014</v>
      </c>
      <c r="I134" s="24" t="n">
        <v>132.19</v>
      </c>
      <c r="J134" s="24" t="n">
        <v>132.819</v>
      </c>
      <c r="K134" s="24" t="n">
        <v>129.715</v>
      </c>
      <c r="L134" s="25" t="n">
        <v>3.933</v>
      </c>
      <c r="M134" s="26" t="n">
        <v>62.934</v>
      </c>
      <c r="N134" s="4" t="s">
        <v>33</v>
      </c>
      <c r="O134" s="27" t="n">
        <v>3.9331</v>
      </c>
      <c r="P134" s="28" t="n">
        <f aca="false">Summary!$C$6*O134</f>
        <v>0.0196655</v>
      </c>
      <c r="Q134" s="29" t="n">
        <f aca="false">Q133*(1+P134)</f>
        <v>11115.591197153</v>
      </c>
      <c r="R134" s="29" t="n">
        <f aca="false">MAX(R133,Q134)</f>
        <v>11473.4252080496</v>
      </c>
      <c r="S134" s="30" t="n">
        <f aca="false">Q134/R134-1</f>
        <v>-0.0311880719495626</v>
      </c>
      <c r="T134" s="31" t="n">
        <f aca="false">DATE(YEAR(F134),MONTH(F134),1)</f>
        <v>40452</v>
      </c>
    </row>
    <row r="135" customFormat="false" ht="15" hidden="false" customHeight="true" outlineLevel="0" collapsed="false">
      <c r="A135" s="4" t="n">
        <v>134</v>
      </c>
      <c r="B135" s="4" t="s">
        <v>28</v>
      </c>
      <c r="C135" s="4" t="s">
        <v>53</v>
      </c>
      <c r="D135" s="23" t="n">
        <v>40464.9166666667</v>
      </c>
      <c r="E135" s="23" t="n">
        <v>40469.28125</v>
      </c>
      <c r="F135" s="23" t="n">
        <v>40470.4583333333</v>
      </c>
      <c r="G135" s="4" t="n">
        <f aca="false">YEAR(E135)</f>
        <v>2010</v>
      </c>
      <c r="H135" s="4" t="str">
        <f aca="false">IF(E135&lt;DATE(2015,1,1),"2005–2014",IF(E135&lt;DATE(2022,3,5),"2015 – Mar 2022","Mar 2022 – Oct 2026"))</f>
        <v>2005–2014</v>
      </c>
      <c r="I135" s="24" t="n">
        <v>129.009</v>
      </c>
      <c r="J135" s="24" t="n">
        <v>128.425</v>
      </c>
      <c r="K135" s="24" t="n">
        <v>131.118</v>
      </c>
      <c r="L135" s="25" t="n">
        <v>3.609</v>
      </c>
      <c r="M135" s="26" t="n">
        <v>58.414</v>
      </c>
      <c r="N135" s="4" t="s">
        <v>34</v>
      </c>
      <c r="O135" s="27" t="n">
        <v>-1.0128</v>
      </c>
      <c r="P135" s="28" t="n">
        <f aca="false">Summary!$C$6*O135</f>
        <v>-0.005064</v>
      </c>
      <c r="Q135" s="29" t="n">
        <f aca="false">Q134*(1+P135)</f>
        <v>11059.3018433306</v>
      </c>
      <c r="R135" s="29" t="n">
        <f aca="false">MAX(R134,Q135)</f>
        <v>11473.4252080496</v>
      </c>
      <c r="S135" s="30" t="n">
        <f aca="false">Q135/R135-1</f>
        <v>-0.03609413555321</v>
      </c>
      <c r="T135" s="31" t="n">
        <f aca="false">DATE(YEAR(F135),MONTH(F135),1)</f>
        <v>40452</v>
      </c>
    </row>
    <row r="136" customFormat="false" ht="15" hidden="false" customHeight="true" outlineLevel="0" collapsed="false">
      <c r="A136" s="4" t="n">
        <v>135</v>
      </c>
      <c r="B136" s="4" t="s">
        <v>27</v>
      </c>
      <c r="C136" s="4" t="s">
        <v>53</v>
      </c>
      <c r="D136" s="23" t="n">
        <v>40478.9166666667</v>
      </c>
      <c r="E136" s="23" t="n">
        <v>40479.1979166667</v>
      </c>
      <c r="F136" s="23" t="n">
        <v>40479.2916666667</v>
      </c>
      <c r="G136" s="4" t="n">
        <f aca="false">YEAR(E136)</f>
        <v>2010</v>
      </c>
      <c r="H136" s="4" t="str">
        <f aca="false">IF(E136&lt;DATE(2015,1,1),"2005–2014",IF(E136&lt;DATE(2022,3,5),"2015 – Mar 2022","Mar 2022 – Oct 2026"))</f>
        <v>2005–2014</v>
      </c>
      <c r="I136" s="24" t="n">
        <v>128.97</v>
      </c>
      <c r="J136" s="24" t="n">
        <v>128.396</v>
      </c>
      <c r="K136" s="24" t="n">
        <v>131.119</v>
      </c>
      <c r="L136" s="25" t="n">
        <v>3.746</v>
      </c>
      <c r="M136" s="26" t="n">
        <v>57.373</v>
      </c>
      <c r="N136" s="4" t="s">
        <v>34</v>
      </c>
      <c r="O136" s="27" t="n">
        <v>-1.0131</v>
      </c>
      <c r="P136" s="28" t="n">
        <f aca="false">Summary!$C$6*O136</f>
        <v>-0.0050655</v>
      </c>
      <c r="Q136" s="29" t="n">
        <f aca="false">Q135*(1+P136)</f>
        <v>11003.2809498432</v>
      </c>
      <c r="R136" s="29" t="n">
        <f aca="false">MAX(R135,Q136)</f>
        <v>11473.4252080496</v>
      </c>
      <c r="S136" s="30" t="n">
        <f aca="false">Q136/R136-1</f>
        <v>-0.0409768007095651</v>
      </c>
      <c r="T136" s="31" t="n">
        <f aca="false">DATE(YEAR(F136),MONTH(F136),1)</f>
        <v>40452</v>
      </c>
    </row>
    <row r="137" customFormat="false" ht="15" hidden="false" customHeight="true" outlineLevel="0" collapsed="false">
      <c r="A137" s="4" t="n">
        <v>136</v>
      </c>
      <c r="B137" s="4" t="s">
        <v>28</v>
      </c>
      <c r="C137" s="4" t="s">
        <v>54</v>
      </c>
      <c r="D137" s="23" t="n">
        <v>40480.9166666667</v>
      </c>
      <c r="E137" s="23" t="n">
        <v>40483</v>
      </c>
      <c r="F137" s="23" t="n">
        <v>40483</v>
      </c>
      <c r="G137" s="4" t="n">
        <f aca="false">YEAR(E137)</f>
        <v>2010</v>
      </c>
      <c r="H137" s="4" t="str">
        <f aca="false">IF(E137&lt;DATE(2015,1,1),"2005–2014",IF(E137&lt;DATE(2022,3,5),"2015 – Mar 2022","Mar 2022 – Oct 2026"))</f>
        <v>2005–2014</v>
      </c>
      <c r="I137" s="24" t="n">
        <v>129.392</v>
      </c>
      <c r="J137" s="24" t="n">
        <v>129.961</v>
      </c>
      <c r="K137" s="24" t="n">
        <v>127.137</v>
      </c>
      <c r="L137" s="25" t="n">
        <v>3.965</v>
      </c>
      <c r="M137" s="26" t="n">
        <v>56.86</v>
      </c>
      <c r="N137" s="4" t="s">
        <v>34</v>
      </c>
      <c r="O137" s="27" t="n">
        <v>-1.0132</v>
      </c>
      <c r="P137" s="28" t="n">
        <f aca="false">Summary!$C$6*O137</f>
        <v>-0.005066</v>
      </c>
      <c r="Q137" s="29" t="n">
        <f aca="false">Q136*(1+P137)</f>
        <v>10947.5383285513</v>
      </c>
      <c r="R137" s="29" t="n">
        <f aca="false">MAX(R136,Q137)</f>
        <v>11473.4252080496</v>
      </c>
      <c r="S137" s="30" t="n">
        <f aca="false">Q137/R137-1</f>
        <v>-0.0458352122371704</v>
      </c>
      <c r="T137" s="31" t="n">
        <f aca="false">DATE(YEAR(F137),MONTH(F137),1)</f>
        <v>40483</v>
      </c>
    </row>
    <row r="138" customFormat="false" ht="15" hidden="false" customHeight="true" outlineLevel="0" collapsed="false">
      <c r="A138" s="4" t="n">
        <v>137</v>
      </c>
      <c r="B138" s="4" t="s">
        <v>27</v>
      </c>
      <c r="C138" s="4" t="s">
        <v>54</v>
      </c>
      <c r="D138" s="23" t="n">
        <v>40483.9166666667</v>
      </c>
      <c r="E138" s="23" t="n">
        <v>40484.15625</v>
      </c>
      <c r="F138" s="23" t="n">
        <v>40485.3958333333</v>
      </c>
      <c r="G138" s="4" t="n">
        <f aca="false">YEAR(E138)</f>
        <v>2010</v>
      </c>
      <c r="H138" s="4" t="str">
        <f aca="false">IF(E138&lt;DATE(2015,1,1),"2005–2014",IF(E138&lt;DATE(2022,3,5),"2015 – Mar 2022","Mar 2022 – Oct 2026"))</f>
        <v>2005–2014</v>
      </c>
      <c r="I138" s="24" t="n">
        <v>129.346</v>
      </c>
      <c r="J138" s="24" t="n">
        <v>129.921</v>
      </c>
      <c r="K138" s="24" t="n">
        <v>127.138</v>
      </c>
      <c r="L138" s="25" t="n">
        <v>3.839</v>
      </c>
      <c r="M138" s="26" t="n">
        <v>57.505</v>
      </c>
      <c r="N138" s="4" t="s">
        <v>34</v>
      </c>
      <c r="O138" s="27" t="n">
        <v>-1.013</v>
      </c>
      <c r="P138" s="28" t="n">
        <f aca="false">Summary!$C$6*O138</f>
        <v>-0.005065</v>
      </c>
      <c r="Q138" s="29" t="n">
        <f aca="false">Q137*(1+P138)</f>
        <v>10892.0890469172</v>
      </c>
      <c r="R138" s="29" t="n">
        <f aca="false">MAX(R137,Q138)</f>
        <v>11473.4252080496</v>
      </c>
      <c r="S138" s="30" t="n">
        <f aca="false">Q138/R138-1</f>
        <v>-0.050668056887189</v>
      </c>
      <c r="T138" s="31" t="n">
        <f aca="false">DATE(YEAR(F138),MONTH(F138),1)</f>
        <v>40483</v>
      </c>
    </row>
    <row r="139" customFormat="false" ht="15" hidden="false" customHeight="true" outlineLevel="0" collapsed="false">
      <c r="A139" s="4" t="n">
        <v>138</v>
      </c>
      <c r="B139" s="4" t="s">
        <v>28</v>
      </c>
      <c r="C139" s="4" t="s">
        <v>53</v>
      </c>
      <c r="D139" s="23" t="n">
        <v>40492.9166666667</v>
      </c>
      <c r="E139" s="23" t="n">
        <v>40494.2916666667</v>
      </c>
      <c r="F139" s="23" t="n">
        <v>40494.3125</v>
      </c>
      <c r="G139" s="4" t="n">
        <f aca="false">YEAR(E139)</f>
        <v>2010</v>
      </c>
      <c r="H139" s="4" t="str">
        <f aca="false">IF(E139&lt;DATE(2015,1,1),"2005–2014",IF(E139&lt;DATE(2022,3,5),"2015 – Mar 2022","Mar 2022 – Oct 2026"))</f>
        <v>2005–2014</v>
      </c>
      <c r="I139" s="24" t="n">
        <v>131.923</v>
      </c>
      <c r="J139" s="24" t="n">
        <v>131.315</v>
      </c>
      <c r="K139" s="24" t="n">
        <v>134.198</v>
      </c>
      <c r="L139" s="25" t="n">
        <v>3.741</v>
      </c>
      <c r="M139" s="26" t="n">
        <v>60.808</v>
      </c>
      <c r="N139" s="4" t="s">
        <v>34</v>
      </c>
      <c r="O139" s="27" t="n">
        <v>-1.0123</v>
      </c>
      <c r="P139" s="28" t="n">
        <f aca="false">Summary!$C$6*O139</f>
        <v>-0.0050615</v>
      </c>
      <c r="Q139" s="29" t="n">
        <f aca="false">Q138*(1+P139)</f>
        <v>10836.9587382063</v>
      </c>
      <c r="R139" s="29" t="n">
        <f aca="false">MAX(R138,Q139)</f>
        <v>11473.4252080496</v>
      </c>
      <c r="S139" s="30" t="n">
        <f aca="false">Q139/R139-1</f>
        <v>-0.0554731005172545</v>
      </c>
      <c r="T139" s="31" t="n">
        <f aca="false">DATE(YEAR(F139),MONTH(F139),1)</f>
        <v>40483</v>
      </c>
    </row>
    <row r="140" customFormat="false" ht="15" hidden="false" customHeight="true" outlineLevel="0" collapsed="false">
      <c r="A140" s="4" t="n">
        <v>139</v>
      </c>
      <c r="B140" s="4" t="s">
        <v>28</v>
      </c>
      <c r="C140" s="4" t="s">
        <v>53</v>
      </c>
      <c r="D140" s="23" t="n">
        <v>40497.9166666667</v>
      </c>
      <c r="E140" s="23" t="n">
        <v>40498.6458333333</v>
      </c>
      <c r="F140" s="23" t="n">
        <v>40504.7291666667</v>
      </c>
      <c r="G140" s="4" t="n">
        <f aca="false">YEAR(E140)</f>
        <v>2010</v>
      </c>
      <c r="H140" s="4" t="str">
        <f aca="false">IF(E140&lt;DATE(2015,1,1),"2005–2014",IF(E140&lt;DATE(2022,3,5),"2015 – Mar 2022","Mar 2022 – Oct 2026"))</f>
        <v>2005–2014</v>
      </c>
      <c r="I140" s="24" t="n">
        <v>132.613</v>
      </c>
      <c r="J140" s="24" t="n">
        <v>132.005</v>
      </c>
      <c r="K140" s="24" t="n">
        <v>134.839</v>
      </c>
      <c r="L140" s="25" t="n">
        <v>3.66</v>
      </c>
      <c r="M140" s="26" t="n">
        <v>60.818</v>
      </c>
      <c r="N140" s="4" t="s">
        <v>35</v>
      </c>
      <c r="O140" s="27" t="n">
        <v>0.037</v>
      </c>
      <c r="P140" s="28" t="n">
        <f aca="false">Summary!$C$6*O140</f>
        <v>0.000185</v>
      </c>
      <c r="Q140" s="29" t="n">
        <f aca="false">Q139*(1+P140)</f>
        <v>10838.9635755728</v>
      </c>
      <c r="R140" s="29" t="n">
        <f aca="false">MAX(R139,Q140)</f>
        <v>11473.4252080496</v>
      </c>
      <c r="S140" s="30" t="n">
        <f aca="false">Q140/R140-1</f>
        <v>-0.0552983630408502</v>
      </c>
      <c r="T140" s="31" t="n">
        <f aca="false">DATE(YEAR(F140),MONTH(F140),1)</f>
        <v>40483</v>
      </c>
    </row>
    <row r="141" customFormat="false" ht="15" hidden="false" customHeight="true" outlineLevel="0" collapsed="false">
      <c r="A141" s="4" t="n">
        <v>140</v>
      </c>
      <c r="B141" s="4" t="s">
        <v>27</v>
      </c>
      <c r="C141" s="4" t="s">
        <v>54</v>
      </c>
      <c r="D141" s="23" t="n">
        <v>40507.9166666667</v>
      </c>
      <c r="E141" s="23" t="n">
        <v>40508.3541666667</v>
      </c>
      <c r="F141" s="23" t="n">
        <v>40512.5625</v>
      </c>
      <c r="G141" s="4" t="n">
        <f aca="false">YEAR(E141)</f>
        <v>2010</v>
      </c>
      <c r="H141" s="4" t="str">
        <f aca="false">IF(E141&lt;DATE(2015,1,1),"2005–2014",IF(E141&lt;DATE(2022,3,5),"2015 – Mar 2022","Mar 2022 – Oct 2026"))</f>
        <v>2005–2014</v>
      </c>
      <c r="I141" s="24" t="n">
        <v>131.932</v>
      </c>
      <c r="J141" s="24" t="n">
        <v>132.495</v>
      </c>
      <c r="K141" s="24" t="n">
        <v>129.707</v>
      </c>
      <c r="L141" s="25" t="n">
        <v>3.95</v>
      </c>
      <c r="M141" s="26" t="n">
        <v>56.338</v>
      </c>
      <c r="N141" s="4" t="s">
        <v>33</v>
      </c>
      <c r="O141" s="27" t="n">
        <v>3.9499</v>
      </c>
      <c r="P141" s="28" t="n">
        <f aca="false">Summary!$C$6*O141</f>
        <v>0.0197495</v>
      </c>
      <c r="Q141" s="29" t="n">
        <f aca="false">Q140*(1+P141)</f>
        <v>11053.0276867086</v>
      </c>
      <c r="R141" s="29" t="n">
        <f aca="false">MAX(R140,Q141)</f>
        <v>11473.4252080496</v>
      </c>
      <c r="S141" s="30" t="n">
        <f aca="false">Q141/R141-1</f>
        <v>-0.0366409780617254</v>
      </c>
      <c r="T141" s="31" t="n">
        <f aca="false">DATE(YEAR(F141),MONTH(F141),1)</f>
        <v>40483</v>
      </c>
    </row>
    <row r="142" customFormat="false" ht="15" hidden="false" customHeight="true" outlineLevel="0" collapsed="false">
      <c r="A142" s="4" t="n">
        <v>141</v>
      </c>
      <c r="B142" s="4" t="s">
        <v>27</v>
      </c>
      <c r="C142" s="4" t="s">
        <v>53</v>
      </c>
      <c r="D142" s="23" t="n">
        <v>40515.9166666667</v>
      </c>
      <c r="E142" s="23" t="n">
        <v>40517.8645833333</v>
      </c>
      <c r="F142" s="23" t="n">
        <v>40518.3854166667</v>
      </c>
      <c r="G142" s="4" t="n">
        <f aca="false">YEAR(E142)</f>
        <v>2010</v>
      </c>
      <c r="H142" s="4" t="str">
        <f aca="false">IF(E142&lt;DATE(2015,1,1),"2005–2014",IF(E142&lt;DATE(2022,3,5),"2015 – Mar 2022","Mar 2022 – Oct 2026"))</f>
        <v>2005–2014</v>
      </c>
      <c r="I142" s="24" t="n">
        <v>130.362</v>
      </c>
      <c r="J142" s="24" t="n">
        <v>129.812</v>
      </c>
      <c r="K142" s="24" t="n">
        <v>132.019</v>
      </c>
      <c r="L142" s="25" t="n">
        <v>3.014</v>
      </c>
      <c r="M142" s="26" t="n">
        <v>54.967</v>
      </c>
      <c r="N142" s="4" t="s">
        <v>34</v>
      </c>
      <c r="O142" s="27" t="n">
        <v>-1.0136</v>
      </c>
      <c r="P142" s="28" t="n">
        <f aca="false">Summary!$C$6*O142</f>
        <v>-0.005068</v>
      </c>
      <c r="Q142" s="29" t="n">
        <f aca="false">Q141*(1+P142)</f>
        <v>10997.0109423924</v>
      </c>
      <c r="R142" s="29" t="n">
        <f aca="false">MAX(R141,Q142)</f>
        <v>11473.4252080496</v>
      </c>
      <c r="S142" s="30" t="n">
        <f aca="false">Q142/R142-1</f>
        <v>-0.0415232815849086</v>
      </c>
      <c r="T142" s="31" t="n">
        <f aca="false">DATE(YEAR(F142),MONTH(F142),1)</f>
        <v>40513</v>
      </c>
    </row>
    <row r="143" customFormat="false" ht="15" hidden="false" customHeight="true" outlineLevel="0" collapsed="false">
      <c r="A143" s="4" t="n">
        <v>142</v>
      </c>
      <c r="B143" s="4" t="s">
        <v>27</v>
      </c>
      <c r="C143" s="4" t="s">
        <v>53</v>
      </c>
      <c r="D143" s="23" t="n">
        <v>40526.9166666667</v>
      </c>
      <c r="E143" s="23" t="n">
        <v>40527.2083333333</v>
      </c>
      <c r="F143" s="23" t="n">
        <v>40527.46875</v>
      </c>
      <c r="G143" s="4" t="n">
        <f aca="false">YEAR(E143)</f>
        <v>2010</v>
      </c>
      <c r="H143" s="4" t="str">
        <f aca="false">IF(E143&lt;DATE(2015,1,1),"2005–2014",IF(E143&lt;DATE(2022,3,5),"2015 – Mar 2022","Mar 2022 – Oct 2026"))</f>
        <v>2005–2014</v>
      </c>
      <c r="I143" s="24" t="n">
        <v>132.144</v>
      </c>
      <c r="J143" s="24" t="n">
        <v>131.614</v>
      </c>
      <c r="K143" s="24" t="n">
        <v>133.923</v>
      </c>
      <c r="L143" s="25" t="n">
        <v>3.359</v>
      </c>
      <c r="M143" s="26" t="n">
        <v>52.975</v>
      </c>
      <c r="N143" s="4" t="s">
        <v>34</v>
      </c>
      <c r="O143" s="27" t="n">
        <v>-1.0142</v>
      </c>
      <c r="P143" s="28" t="n">
        <f aca="false">Summary!$C$6*O143</f>
        <v>-0.005071</v>
      </c>
      <c r="Q143" s="29" t="n">
        <f aca="false">Q142*(1+P143)</f>
        <v>10941.2450999035</v>
      </c>
      <c r="R143" s="29" t="n">
        <f aca="false">MAX(R142,Q143)</f>
        <v>11473.4252080496</v>
      </c>
      <c r="S143" s="30" t="n">
        <f aca="false">Q143/R143-1</f>
        <v>-0.0463837170239916</v>
      </c>
      <c r="T143" s="31" t="n">
        <f aca="false">DATE(YEAR(F143),MONTH(F143),1)</f>
        <v>40513</v>
      </c>
    </row>
    <row r="144" customFormat="false" ht="15" hidden="false" customHeight="true" outlineLevel="0" collapsed="false">
      <c r="A144" s="4" t="n">
        <v>143</v>
      </c>
      <c r="B144" s="4" t="s">
        <v>27</v>
      </c>
      <c r="C144" s="4" t="s">
        <v>54</v>
      </c>
      <c r="D144" s="23" t="n">
        <v>40528.9166666667</v>
      </c>
      <c r="E144" s="23" t="n">
        <v>40529.1666666667</v>
      </c>
      <c r="F144" s="23" t="n">
        <v>40533.5</v>
      </c>
      <c r="G144" s="4" t="n">
        <f aca="false">YEAR(E144)</f>
        <v>2010</v>
      </c>
      <c r="H144" s="4" t="str">
        <f aca="false">IF(E144&lt;DATE(2015,1,1),"2005–2014",IF(E144&lt;DATE(2022,3,5),"2015 – Mar 2022","Mar 2022 – Oct 2026"))</f>
        <v>2005–2014</v>
      </c>
      <c r="I144" s="24" t="n">
        <v>131.154</v>
      </c>
      <c r="J144" s="24" t="n">
        <v>131.675</v>
      </c>
      <c r="K144" s="24" t="n">
        <v>129.429</v>
      </c>
      <c r="L144" s="25" t="n">
        <v>3.311</v>
      </c>
      <c r="M144" s="26" t="n">
        <v>52.116</v>
      </c>
      <c r="N144" s="4" t="s">
        <v>33</v>
      </c>
      <c r="O144" s="27" t="n">
        <v>3.3108</v>
      </c>
      <c r="P144" s="28" t="n">
        <f aca="false">Summary!$C$6*O144</f>
        <v>0.016554</v>
      </c>
      <c r="Q144" s="29" t="n">
        <f aca="false">Q143*(1+P144)</f>
        <v>11122.3664712873</v>
      </c>
      <c r="R144" s="29" t="n">
        <f aca="false">MAX(R143,Q144)</f>
        <v>11473.4252080496</v>
      </c>
      <c r="S144" s="30" t="n">
        <f aca="false">Q144/R144-1</f>
        <v>-0.0305975530756067</v>
      </c>
      <c r="T144" s="31" t="n">
        <f aca="false">DATE(YEAR(F144),MONTH(F144),1)</f>
        <v>40513</v>
      </c>
    </row>
    <row r="145" customFormat="false" ht="15" hidden="false" customHeight="true" outlineLevel="0" collapsed="false">
      <c r="A145" s="4" t="n">
        <v>144</v>
      </c>
      <c r="B145" s="4" t="s">
        <v>28</v>
      </c>
      <c r="C145" s="4" t="s">
        <v>54</v>
      </c>
      <c r="D145" s="23" t="n">
        <v>40549.9166666667</v>
      </c>
      <c r="E145" s="23" t="n">
        <v>40550.6458333333</v>
      </c>
      <c r="F145" s="23" t="n">
        <v>40553.46875</v>
      </c>
      <c r="G145" s="4" t="n">
        <f aca="false">YEAR(E145)</f>
        <v>2011</v>
      </c>
      <c r="H145" s="4" t="str">
        <f aca="false">IF(E145&lt;DATE(2015,1,1),"2005–2014",IF(E145&lt;DATE(2022,3,5),"2015 – Mar 2022","Mar 2022 – Oct 2026"))</f>
        <v>2005–2014</v>
      </c>
      <c r="I145" s="24" t="n">
        <v>129.324</v>
      </c>
      <c r="J145" s="24" t="n">
        <v>129.789</v>
      </c>
      <c r="K145" s="24" t="n">
        <v>127.125</v>
      </c>
      <c r="L145" s="25" t="n">
        <v>4.729</v>
      </c>
      <c r="M145" s="26" t="n">
        <v>46.511</v>
      </c>
      <c r="N145" s="4" t="s">
        <v>35</v>
      </c>
      <c r="O145" s="27" t="n">
        <v>0.0484</v>
      </c>
      <c r="P145" s="28" t="n">
        <f aca="false">Summary!$C$6*O145</f>
        <v>0.000242</v>
      </c>
      <c r="Q145" s="29" t="n">
        <f aca="false">Q144*(1+P145)</f>
        <v>11125.0580839733</v>
      </c>
      <c r="R145" s="29" t="n">
        <f aca="false">MAX(R144,Q145)</f>
        <v>11473.4252080496</v>
      </c>
      <c r="S145" s="30" t="n">
        <f aca="false">Q145/R145-1</f>
        <v>-0.0303629576834509</v>
      </c>
      <c r="T145" s="31" t="n">
        <f aca="false">DATE(YEAR(F145),MONTH(F145),1)</f>
        <v>40544</v>
      </c>
    </row>
    <row r="146" customFormat="false" ht="15" hidden="false" customHeight="true" outlineLevel="0" collapsed="false">
      <c r="A146" s="4" t="n">
        <v>145</v>
      </c>
      <c r="B146" s="4" t="s">
        <v>28</v>
      </c>
      <c r="C146" s="4" t="s">
        <v>54</v>
      </c>
      <c r="D146" s="23" t="n">
        <v>40553.9166666667</v>
      </c>
      <c r="E146" s="23" t="n">
        <v>40554.0729166667</v>
      </c>
      <c r="F146" s="23" t="n">
        <v>40554.6354166667</v>
      </c>
      <c r="G146" s="4" t="n">
        <f aca="false">YEAR(E146)</f>
        <v>2011</v>
      </c>
      <c r="H146" s="4" t="str">
        <f aca="false">IF(E146&lt;DATE(2015,1,1),"2005–2014",IF(E146&lt;DATE(2022,3,5),"2015 – Mar 2022","Mar 2022 – Oct 2026"))</f>
        <v>2005–2014</v>
      </c>
      <c r="I146" s="24" t="n">
        <v>129.213</v>
      </c>
      <c r="J146" s="24" t="n">
        <v>129.671</v>
      </c>
      <c r="K146" s="24" t="n">
        <v>127.124</v>
      </c>
      <c r="L146" s="25" t="n">
        <v>4.563</v>
      </c>
      <c r="M146" s="26" t="n">
        <v>45.789</v>
      </c>
      <c r="N146" s="4" t="s">
        <v>34</v>
      </c>
      <c r="O146" s="27" t="n">
        <v>-1.0164</v>
      </c>
      <c r="P146" s="28" t="n">
        <f aca="false">Summary!$C$6*O146</f>
        <v>-0.005082</v>
      </c>
      <c r="Q146" s="29" t="n">
        <f aca="false">Q145*(1+P146)</f>
        <v>11068.5205387906</v>
      </c>
      <c r="R146" s="29" t="n">
        <f aca="false">MAX(R145,Q146)</f>
        <v>11473.4252080496</v>
      </c>
      <c r="S146" s="30" t="n">
        <f aca="false">Q146/R146-1</f>
        <v>-0.0352906531325037</v>
      </c>
      <c r="T146" s="31" t="n">
        <f aca="false">DATE(YEAR(F146),MONTH(F146),1)</f>
        <v>40544</v>
      </c>
    </row>
    <row r="147" customFormat="false" ht="15" hidden="false" customHeight="true" outlineLevel="0" collapsed="false">
      <c r="A147" s="4" t="n">
        <v>146</v>
      </c>
      <c r="B147" s="4" t="s">
        <v>27</v>
      </c>
      <c r="C147" s="4" t="s">
        <v>54</v>
      </c>
      <c r="D147" s="23" t="n">
        <v>40561.9166666667</v>
      </c>
      <c r="E147" s="23" t="n">
        <v>40563.5625</v>
      </c>
      <c r="F147" s="23" t="n">
        <v>40563.8333333333</v>
      </c>
      <c r="G147" s="4" t="n">
        <f aca="false">YEAR(E147)</f>
        <v>2011</v>
      </c>
      <c r="H147" s="4" t="str">
        <f aca="false">IF(E147&lt;DATE(2015,1,1),"2005–2014",IF(E147&lt;DATE(2022,3,5),"2015 – Mar 2022","Mar 2022 – Oct 2026"))</f>
        <v>2005–2014</v>
      </c>
      <c r="I147" s="24" t="n">
        <v>131.688</v>
      </c>
      <c r="J147" s="24" t="n">
        <v>132.131</v>
      </c>
      <c r="K147" s="24" t="n">
        <v>129.912</v>
      </c>
      <c r="L147" s="25" t="n">
        <v>4.008</v>
      </c>
      <c r="M147" s="26" t="n">
        <v>44.307</v>
      </c>
      <c r="N147" s="4" t="s">
        <v>34</v>
      </c>
      <c r="O147" s="27" t="n">
        <v>-1.0169</v>
      </c>
      <c r="P147" s="28" t="n">
        <f aca="false">Summary!$C$6*O147</f>
        <v>-0.0050845</v>
      </c>
      <c r="Q147" s="29" t="n">
        <f aca="false">Q146*(1+P147)</f>
        <v>11012.2426461111</v>
      </c>
      <c r="R147" s="29" t="n">
        <f aca="false">MAX(R146,Q147)</f>
        <v>11473.4252080496</v>
      </c>
      <c r="S147" s="30" t="n">
        <f aca="false">Q147/R147-1</f>
        <v>-0.0401957178066515</v>
      </c>
      <c r="T147" s="31" t="n">
        <f aca="false">DATE(YEAR(F147),MONTH(F147),1)</f>
        <v>40544</v>
      </c>
    </row>
    <row r="148" customFormat="false" ht="15" hidden="false" customHeight="true" outlineLevel="0" collapsed="false">
      <c r="A148" s="4" t="n">
        <v>147</v>
      </c>
      <c r="B148" s="4" t="s">
        <v>27</v>
      </c>
      <c r="C148" s="4" t="s">
        <v>53</v>
      </c>
      <c r="D148" s="23" t="n">
        <v>40564.9166666667</v>
      </c>
      <c r="E148" s="23" t="n">
        <v>40566.7916666667</v>
      </c>
      <c r="F148" s="23" t="n">
        <v>40568.2916666667</v>
      </c>
      <c r="G148" s="4" t="n">
        <f aca="false">YEAR(E148)</f>
        <v>2011</v>
      </c>
      <c r="H148" s="4" t="str">
        <f aca="false">IF(E148&lt;DATE(2015,1,1),"2005–2014",IF(E148&lt;DATE(2022,3,5),"2015 – Mar 2022","Mar 2022 – Oct 2026"))</f>
        <v>2005–2014</v>
      </c>
      <c r="I148" s="24" t="n">
        <v>132.11</v>
      </c>
      <c r="J148" s="24" t="n">
        <v>131.657</v>
      </c>
      <c r="K148" s="24" t="n">
        <v>133.933</v>
      </c>
      <c r="L148" s="25" t="n">
        <v>4.025</v>
      </c>
      <c r="M148" s="26" t="n">
        <v>45.287</v>
      </c>
      <c r="N148" s="4" t="s">
        <v>34</v>
      </c>
      <c r="O148" s="27" t="n">
        <v>-1.0166</v>
      </c>
      <c r="P148" s="28" t="n">
        <f aca="false">Summary!$C$6*O148</f>
        <v>-0.005083</v>
      </c>
      <c r="Q148" s="29" t="n">
        <f aca="false">Q147*(1+P148)</f>
        <v>10956.2674167409</v>
      </c>
      <c r="R148" s="29" t="n">
        <f aca="false">MAX(R147,Q148)</f>
        <v>11473.4252080496</v>
      </c>
      <c r="S148" s="30" t="n">
        <f aca="false">Q148/R148-1</f>
        <v>-0.0450744029730403</v>
      </c>
      <c r="T148" s="31" t="n">
        <f aca="false">DATE(YEAR(F148),MONTH(F148),1)</f>
        <v>40544</v>
      </c>
    </row>
    <row r="149" customFormat="false" ht="15" hidden="false" customHeight="true" outlineLevel="0" collapsed="false">
      <c r="A149" s="4" t="n">
        <v>148</v>
      </c>
      <c r="B149" s="4" t="s">
        <v>27</v>
      </c>
      <c r="C149" s="4" t="s">
        <v>54</v>
      </c>
      <c r="D149" s="23" t="n">
        <v>40575.9166666667</v>
      </c>
      <c r="E149" s="23" t="n">
        <v>40576.78125</v>
      </c>
      <c r="F149" s="23" t="n">
        <v>40577.3125</v>
      </c>
      <c r="G149" s="4" t="n">
        <f aca="false">YEAR(E149)</f>
        <v>2011</v>
      </c>
      <c r="H149" s="4" t="str">
        <f aca="false">IF(E149&lt;DATE(2015,1,1),"2005–2014",IF(E149&lt;DATE(2022,3,5),"2015 – Mar 2022","Mar 2022 – Oct 2026"))</f>
        <v>2005–2014</v>
      </c>
      <c r="I149" s="24" t="n">
        <v>132.03</v>
      </c>
      <c r="J149" s="24" t="n">
        <v>132.53</v>
      </c>
      <c r="K149" s="24" t="n">
        <v>130.471</v>
      </c>
      <c r="L149" s="25" t="n">
        <v>3.119</v>
      </c>
      <c r="M149" s="26" t="n">
        <v>49.985</v>
      </c>
      <c r="N149" s="4" t="s">
        <v>34</v>
      </c>
      <c r="O149" s="27" t="n">
        <v>-1.015</v>
      </c>
      <c r="P149" s="28" t="n">
        <f aca="false">Summary!$C$6*O149</f>
        <v>-0.005075</v>
      </c>
      <c r="Q149" s="29" t="n">
        <f aca="false">Q148*(1+P149)</f>
        <v>10900.664359601</v>
      </c>
      <c r="R149" s="29" t="n">
        <f aca="false">MAX(R148,Q149)</f>
        <v>11473.4252080496</v>
      </c>
      <c r="S149" s="30" t="n">
        <f aca="false">Q149/R149-1</f>
        <v>-0.0499206503779521</v>
      </c>
      <c r="T149" s="31" t="n">
        <f aca="false">DATE(YEAR(F149),MONTH(F149),1)</f>
        <v>40575</v>
      </c>
    </row>
    <row r="150" customFormat="false" ht="15" hidden="false" customHeight="true" outlineLevel="0" collapsed="false">
      <c r="A150" s="4" t="n">
        <v>149</v>
      </c>
      <c r="B150" s="4" t="s">
        <v>27</v>
      </c>
      <c r="C150" s="4" t="s">
        <v>54</v>
      </c>
      <c r="D150" s="23" t="n">
        <v>40577.9166666667</v>
      </c>
      <c r="E150" s="23" t="n">
        <v>40578.0833333333</v>
      </c>
      <c r="F150" s="23" t="n">
        <v>40578.65625</v>
      </c>
      <c r="G150" s="4" t="n">
        <f aca="false">YEAR(E150)</f>
        <v>2011</v>
      </c>
      <c r="H150" s="4" t="str">
        <f aca="false">IF(E150&lt;DATE(2015,1,1),"2005–2014",IF(E150&lt;DATE(2022,3,5),"2015 – Mar 2022","Mar 2022 – Oct 2026"))</f>
        <v>2005–2014</v>
      </c>
      <c r="I150" s="24" t="n">
        <v>131.67</v>
      </c>
      <c r="J150" s="24" t="n">
        <v>132.174</v>
      </c>
      <c r="K150" s="24" t="n">
        <v>130.153</v>
      </c>
      <c r="L150" s="25" t="n">
        <v>3.012</v>
      </c>
      <c r="M150" s="26" t="n">
        <v>50.353</v>
      </c>
      <c r="N150" s="4" t="s">
        <v>35</v>
      </c>
      <c r="O150" s="27" t="n">
        <v>0.0447</v>
      </c>
      <c r="P150" s="28" t="n">
        <f aca="false">Summary!$C$6*O150</f>
        <v>0.0002235</v>
      </c>
      <c r="Q150" s="29" t="n">
        <f aca="false">Q149*(1+P150)</f>
        <v>10903.1006580853</v>
      </c>
      <c r="R150" s="29" t="n">
        <f aca="false">MAX(R149,Q150)</f>
        <v>11473.4252080496</v>
      </c>
      <c r="S150" s="30" t="n">
        <f aca="false">Q150/R150-1</f>
        <v>-0.0497083076433117</v>
      </c>
      <c r="T150" s="31" t="n">
        <f aca="false">DATE(YEAR(F150),MONTH(F150),1)</f>
        <v>40575</v>
      </c>
    </row>
    <row r="151" customFormat="false" ht="15" hidden="false" customHeight="true" outlineLevel="0" collapsed="false">
      <c r="A151" s="4" t="n">
        <v>150</v>
      </c>
      <c r="B151" s="4" t="s">
        <v>28</v>
      </c>
      <c r="C151" s="4" t="s">
        <v>53</v>
      </c>
      <c r="D151" s="23" t="n">
        <v>40578.9166666667</v>
      </c>
      <c r="E151" s="23" t="n">
        <v>40582.5625</v>
      </c>
      <c r="F151" s="23" t="n">
        <v>40584.6666666667</v>
      </c>
      <c r="G151" s="4" t="n">
        <f aca="false">YEAR(E151)</f>
        <v>2011</v>
      </c>
      <c r="H151" s="4" t="str">
        <f aca="false">IF(E151&lt;DATE(2015,1,1),"2005–2014",IF(E151&lt;DATE(2022,3,5),"2015 – Mar 2022","Mar 2022 – Oct 2026"))</f>
        <v>2005–2014</v>
      </c>
      <c r="I151" s="24" t="n">
        <v>131.948</v>
      </c>
      <c r="J151" s="24" t="n">
        <v>131.425</v>
      </c>
      <c r="K151" s="24" t="n">
        <v>133.924</v>
      </c>
      <c r="L151" s="25" t="n">
        <v>3.779</v>
      </c>
      <c r="M151" s="26" t="n">
        <v>52.295</v>
      </c>
      <c r="N151" s="4" t="s">
        <v>33</v>
      </c>
      <c r="O151" s="27" t="n">
        <v>3.7789</v>
      </c>
      <c r="P151" s="28" t="n">
        <f aca="false">Summary!$C$6*O151</f>
        <v>0.0188945</v>
      </c>
      <c r="Q151" s="29" t="n">
        <f aca="false">Q150*(1+P151)</f>
        <v>11109.1092934695</v>
      </c>
      <c r="R151" s="29" t="n">
        <f aca="false">MAX(R150,Q151)</f>
        <v>11473.4252080496</v>
      </c>
      <c r="S151" s="30" t="n">
        <f aca="false">Q151/R151-1</f>
        <v>-0.0317530212620781</v>
      </c>
      <c r="T151" s="31" t="n">
        <f aca="false">DATE(YEAR(F151),MONTH(F151),1)</f>
        <v>40575</v>
      </c>
    </row>
    <row r="152" customFormat="false" ht="15" hidden="false" customHeight="true" outlineLevel="0" collapsed="false">
      <c r="A152" s="4" t="n">
        <v>151</v>
      </c>
      <c r="B152" s="4" t="s">
        <v>27</v>
      </c>
      <c r="C152" s="4" t="s">
        <v>54</v>
      </c>
      <c r="D152" s="23" t="n">
        <v>40591.9166666667</v>
      </c>
      <c r="E152" s="23" t="n">
        <v>40592.0104166667</v>
      </c>
      <c r="F152" s="23" t="n">
        <v>40592.3333333333</v>
      </c>
      <c r="G152" s="4" t="n">
        <f aca="false">YEAR(E152)</f>
        <v>2011</v>
      </c>
      <c r="H152" s="4" t="str">
        <f aca="false">IF(E152&lt;DATE(2015,1,1),"2005–2014",IF(E152&lt;DATE(2022,3,5),"2015 – Mar 2022","Mar 2022 – Oct 2026"))</f>
        <v>2005–2014</v>
      </c>
      <c r="I152" s="24" t="n">
        <v>134.711</v>
      </c>
      <c r="J152" s="24" t="n">
        <v>135.164</v>
      </c>
      <c r="K152" s="24" t="n">
        <v>133.072</v>
      </c>
      <c r="L152" s="25" t="n">
        <v>3.617</v>
      </c>
      <c r="M152" s="26" t="n">
        <v>45.308</v>
      </c>
      <c r="N152" s="4" t="s">
        <v>34</v>
      </c>
      <c r="O152" s="27" t="n">
        <v>-1.0166</v>
      </c>
      <c r="P152" s="28" t="n">
        <f aca="false">Summary!$C$6*O152</f>
        <v>-0.005083</v>
      </c>
      <c r="Q152" s="29" t="n">
        <f aca="false">Q151*(1+P152)</f>
        <v>11052.6416909308</v>
      </c>
      <c r="R152" s="29" t="n">
        <f aca="false">MAX(R151,Q152)</f>
        <v>11473.4252080496</v>
      </c>
      <c r="S152" s="30" t="n">
        <f aca="false">Q152/R152-1</f>
        <v>-0.0366746206550029</v>
      </c>
      <c r="T152" s="31" t="n">
        <f aca="false">DATE(YEAR(F152),MONTH(F152),1)</f>
        <v>40575</v>
      </c>
    </row>
    <row r="153" customFormat="false" ht="15" hidden="false" customHeight="true" outlineLevel="0" collapsed="false">
      <c r="A153" s="4" t="n">
        <v>152</v>
      </c>
      <c r="B153" s="4" t="s">
        <v>27</v>
      </c>
      <c r="C153" s="4" t="s">
        <v>53</v>
      </c>
      <c r="D153" s="23" t="n">
        <v>40595.9166666667</v>
      </c>
      <c r="E153" s="23" t="n">
        <v>40596.1458333333</v>
      </c>
      <c r="F153" s="23" t="n">
        <v>40596.34375</v>
      </c>
      <c r="G153" s="4" t="n">
        <f aca="false">YEAR(E153)</f>
        <v>2011</v>
      </c>
      <c r="H153" s="4" t="str">
        <f aca="false">IF(E153&lt;DATE(2015,1,1),"2005–2014",IF(E153&lt;DATE(2022,3,5),"2015 – Mar 2022","Mar 2022 – Oct 2026"))</f>
        <v>2005–2014</v>
      </c>
      <c r="I153" s="24" t="n">
        <v>134.59</v>
      </c>
      <c r="J153" s="24" t="n">
        <v>134.186</v>
      </c>
      <c r="K153" s="24" t="n">
        <v>136.844</v>
      </c>
      <c r="L153" s="25" t="n">
        <v>5.577</v>
      </c>
      <c r="M153" s="26" t="n">
        <v>40.413</v>
      </c>
      <c r="N153" s="4" t="s">
        <v>34</v>
      </c>
      <c r="O153" s="27" t="n">
        <v>-1.0186</v>
      </c>
      <c r="P153" s="28" t="n">
        <f aca="false">Summary!$C$6*O153</f>
        <v>-0.005093</v>
      </c>
      <c r="Q153" s="29" t="n">
        <f aca="false">Q152*(1+P153)</f>
        <v>10996.3505867989</v>
      </c>
      <c r="R153" s="29" t="n">
        <f aca="false">MAX(R152,Q153)</f>
        <v>11473.4252080496</v>
      </c>
      <c r="S153" s="30" t="n">
        <f aca="false">Q153/R153-1</f>
        <v>-0.0415808368120071</v>
      </c>
      <c r="T153" s="31" t="n">
        <f aca="false">DATE(YEAR(F153),MONTH(F153),1)</f>
        <v>40575</v>
      </c>
    </row>
    <row r="154" customFormat="false" ht="15" hidden="false" customHeight="true" outlineLevel="0" collapsed="false">
      <c r="A154" s="4" t="n">
        <v>153</v>
      </c>
      <c r="B154" s="4" t="s">
        <v>28</v>
      </c>
      <c r="C154" s="4" t="s">
        <v>54</v>
      </c>
      <c r="D154" s="23" t="n">
        <v>40613.9166666667</v>
      </c>
      <c r="E154" s="23" t="n">
        <v>40615.7395833333</v>
      </c>
      <c r="F154" s="23" t="n">
        <v>40615.9166666667</v>
      </c>
      <c r="G154" s="4" t="n">
        <f aca="false">YEAR(E154)</f>
        <v>2011</v>
      </c>
      <c r="H154" s="4" t="str">
        <f aca="false">IF(E154&lt;DATE(2015,1,1),"2005–2014",IF(E154&lt;DATE(2022,3,5),"2015 – Mar 2022","Mar 2022 – Oct 2026"))</f>
        <v>2005–2014</v>
      </c>
      <c r="I154" s="24" t="n">
        <v>132.059</v>
      </c>
      <c r="J154" s="24" t="n">
        <v>132.555</v>
      </c>
      <c r="K154" s="24" t="n">
        <v>130.471</v>
      </c>
      <c r="L154" s="25" t="n">
        <v>3.2</v>
      </c>
      <c r="M154" s="26" t="n">
        <v>49.628</v>
      </c>
      <c r="N154" s="4" t="s">
        <v>33</v>
      </c>
      <c r="O154" s="27" t="n">
        <v>3.2003</v>
      </c>
      <c r="P154" s="28" t="n">
        <f aca="false">Summary!$C$6*O154</f>
        <v>0.0160015</v>
      </c>
      <c r="Q154" s="29" t="n">
        <f aca="false">Q153*(1+P154)</f>
        <v>11172.3086907136</v>
      </c>
      <c r="R154" s="29" t="n">
        <f aca="false">MAX(R153,Q154)</f>
        <v>11473.4252080496</v>
      </c>
      <c r="S154" s="30" t="n">
        <f aca="false">Q154/R154-1</f>
        <v>-0.0262446925722544</v>
      </c>
      <c r="T154" s="31" t="n">
        <f aca="false">DATE(YEAR(F154),MONTH(F154),1)</f>
        <v>40603</v>
      </c>
    </row>
    <row r="155" customFormat="false" ht="15" hidden="false" customHeight="true" outlineLevel="0" collapsed="false">
      <c r="A155" s="4" t="n">
        <v>154</v>
      </c>
      <c r="B155" s="4" t="s">
        <v>28</v>
      </c>
      <c r="C155" s="4" t="s">
        <v>54</v>
      </c>
      <c r="D155" s="23" t="n">
        <v>40625.9166666667</v>
      </c>
      <c r="E155" s="23" t="n">
        <v>40631.9895833333</v>
      </c>
      <c r="F155" s="23" t="n">
        <v>40632.28125</v>
      </c>
      <c r="G155" s="4" t="n">
        <f aca="false">YEAR(E155)</f>
        <v>2011</v>
      </c>
      <c r="H155" s="4" t="str">
        <f aca="false">IF(E155&lt;DATE(2015,1,1),"2005–2014",IF(E155&lt;DATE(2022,3,5),"2015 – Mar 2022","Mar 2022 – Oct 2026"))</f>
        <v>2005–2014</v>
      </c>
      <c r="I155" s="24" t="n">
        <v>132.163</v>
      </c>
      <c r="J155" s="24" t="n">
        <v>132.969</v>
      </c>
      <c r="K155" s="24" t="n">
        <v>129.736</v>
      </c>
      <c r="L155" s="25" t="n">
        <v>3.009</v>
      </c>
      <c r="M155" s="26" t="n">
        <v>80.635</v>
      </c>
      <c r="N155" s="4" t="s">
        <v>34</v>
      </c>
      <c r="O155" s="27" t="n">
        <v>-1.0093</v>
      </c>
      <c r="P155" s="28" t="n">
        <f aca="false">Summary!$C$6*O155</f>
        <v>-0.0050465</v>
      </c>
      <c r="Q155" s="29" t="n">
        <f aca="false">Q154*(1+P155)</f>
        <v>11115.9276349059</v>
      </c>
      <c r="R155" s="29" t="n">
        <f aca="false">MAX(R154,Q155)</f>
        <v>11473.4252080496</v>
      </c>
      <c r="S155" s="30" t="n">
        <f aca="false">Q155/R155-1</f>
        <v>-0.0311587487311884</v>
      </c>
      <c r="T155" s="31" t="n">
        <f aca="false">DATE(YEAR(F155),MONTH(F155),1)</f>
        <v>40603</v>
      </c>
    </row>
    <row r="156" customFormat="false" ht="15" hidden="false" customHeight="true" outlineLevel="0" collapsed="false">
      <c r="A156" s="4" t="n">
        <v>155</v>
      </c>
      <c r="B156" s="4" t="s">
        <v>28</v>
      </c>
      <c r="C156" s="4" t="s">
        <v>53</v>
      </c>
      <c r="D156" s="23" t="n">
        <v>40646.9166666667</v>
      </c>
      <c r="E156" s="23" t="n">
        <v>40647.4583333333</v>
      </c>
      <c r="F156" s="23" t="n">
        <v>40648.625</v>
      </c>
      <c r="G156" s="4" t="n">
        <f aca="false">YEAR(E156)</f>
        <v>2011</v>
      </c>
      <c r="H156" s="4" t="str">
        <f aca="false">IF(E156&lt;DATE(2015,1,1),"2005–2014",IF(E156&lt;DATE(2022,3,5),"2015 – Mar 2022","Mar 2022 – Oct 2026"))</f>
        <v>2005–2014</v>
      </c>
      <c r="I156" s="24" t="n">
        <v>135.507</v>
      </c>
      <c r="J156" s="24" t="n">
        <v>134.841</v>
      </c>
      <c r="K156" s="24" t="n">
        <v>139.375</v>
      </c>
      <c r="L156" s="25" t="n">
        <v>5.81</v>
      </c>
      <c r="M156" s="26" t="n">
        <v>66.576</v>
      </c>
      <c r="N156" s="4" t="s">
        <v>35</v>
      </c>
      <c r="O156" s="27" t="n">
        <v>0.0338</v>
      </c>
      <c r="P156" s="28" t="n">
        <f aca="false">Summary!$C$6*O156</f>
        <v>0.000169</v>
      </c>
      <c r="Q156" s="29" t="n">
        <f aca="false">Q155*(1+P156)</f>
        <v>11117.8062266762</v>
      </c>
      <c r="R156" s="29" t="n">
        <f aca="false">MAX(R155,Q156)</f>
        <v>11473.4252080496</v>
      </c>
      <c r="S156" s="30" t="n">
        <f aca="false">Q156/R156-1</f>
        <v>-0.0309950145597239</v>
      </c>
      <c r="T156" s="31" t="n">
        <f aca="false">DATE(YEAR(F156),MONTH(F156),1)</f>
        <v>40634</v>
      </c>
    </row>
    <row r="157" customFormat="false" ht="15" hidden="false" customHeight="true" outlineLevel="0" collapsed="false">
      <c r="A157" s="4" t="n">
        <v>156</v>
      </c>
      <c r="B157" s="4" t="s">
        <v>28</v>
      </c>
      <c r="C157" s="4" t="s">
        <v>54</v>
      </c>
      <c r="D157" s="23" t="n">
        <v>40651.9166666667</v>
      </c>
      <c r="E157" s="23" t="n">
        <v>40652.96875</v>
      </c>
      <c r="F157" s="23" t="n">
        <v>40653.09375</v>
      </c>
      <c r="G157" s="4" t="n">
        <f aca="false">YEAR(E157)</f>
        <v>2011</v>
      </c>
      <c r="H157" s="4" t="str">
        <f aca="false">IF(E157&lt;DATE(2015,1,1),"2005–2014",IF(E157&lt;DATE(2022,3,5),"2015 – Mar 2022","Mar 2022 – Oct 2026"))</f>
        <v>2005–2014</v>
      </c>
      <c r="I157" s="24" t="n">
        <v>135.004</v>
      </c>
      <c r="J157" s="24" t="n">
        <v>135.662</v>
      </c>
      <c r="K157" s="24" t="n">
        <v>132.878</v>
      </c>
      <c r="L157" s="25" t="n">
        <v>3.227</v>
      </c>
      <c r="M157" s="26" t="n">
        <v>65.855</v>
      </c>
      <c r="N157" s="4" t="s">
        <v>34</v>
      </c>
      <c r="O157" s="27" t="n">
        <v>-1.0114</v>
      </c>
      <c r="P157" s="28" t="n">
        <f aca="false">Summary!$C$6*O157</f>
        <v>-0.005057</v>
      </c>
      <c r="Q157" s="29" t="n">
        <f aca="false">Q156*(1+P157)</f>
        <v>11061.5834805879</v>
      </c>
      <c r="R157" s="29" t="n">
        <f aca="false">MAX(R156,Q157)</f>
        <v>11473.4252080496</v>
      </c>
      <c r="S157" s="30" t="n">
        <f aca="false">Q157/R157-1</f>
        <v>-0.0358952727710953</v>
      </c>
      <c r="T157" s="31" t="n">
        <f aca="false">DATE(YEAR(F157),MONTH(F157),1)</f>
        <v>40634</v>
      </c>
    </row>
    <row r="158" customFormat="false" ht="15" hidden="false" customHeight="true" outlineLevel="0" collapsed="false">
      <c r="A158" s="4" t="n">
        <v>157</v>
      </c>
      <c r="B158" s="4" t="s">
        <v>27</v>
      </c>
      <c r="C158" s="4" t="s">
        <v>54</v>
      </c>
      <c r="D158" s="23" t="n">
        <v>40653.9166666667</v>
      </c>
      <c r="E158" s="23" t="n">
        <v>40654.0104166667</v>
      </c>
      <c r="F158" s="23" t="n">
        <v>40654.3541666667</v>
      </c>
      <c r="G158" s="4" t="n">
        <f aca="false">YEAR(E158)</f>
        <v>2011</v>
      </c>
      <c r="H158" s="4" t="str">
        <f aca="false">IF(E158&lt;DATE(2015,1,1),"2005–2014",IF(E158&lt;DATE(2022,3,5),"2015 – Mar 2022","Mar 2022 – Oct 2026"))</f>
        <v>2005–2014</v>
      </c>
      <c r="I158" s="24" t="n">
        <v>135.146</v>
      </c>
      <c r="J158" s="24" t="n">
        <v>135.777</v>
      </c>
      <c r="K158" s="24" t="n">
        <v>132.875</v>
      </c>
      <c r="L158" s="25" t="n">
        <v>3.602</v>
      </c>
      <c r="M158" s="26" t="n">
        <v>63.054</v>
      </c>
      <c r="N158" s="4" t="s">
        <v>34</v>
      </c>
      <c r="O158" s="27" t="n">
        <v>-1.0119</v>
      </c>
      <c r="P158" s="28" t="n">
        <f aca="false">Summary!$C$6*O158</f>
        <v>-0.0050595</v>
      </c>
      <c r="Q158" s="29" t="n">
        <f aca="false">Q157*(1+P158)</f>
        <v>11005.6173989679</v>
      </c>
      <c r="R158" s="29" t="n">
        <f aca="false">MAX(R157,Q158)</f>
        <v>11473.4252080496</v>
      </c>
      <c r="S158" s="30" t="n">
        <f aca="false">Q158/R158-1</f>
        <v>-0.0407731606385099</v>
      </c>
      <c r="T158" s="31" t="n">
        <f aca="false">DATE(YEAR(F158),MONTH(F158),1)</f>
        <v>40634</v>
      </c>
    </row>
    <row r="159" customFormat="false" ht="15" hidden="false" customHeight="true" outlineLevel="0" collapsed="false">
      <c r="A159" s="4" t="n">
        <v>158</v>
      </c>
      <c r="B159" s="4" t="s">
        <v>27</v>
      </c>
      <c r="C159" s="4" t="s">
        <v>53</v>
      </c>
      <c r="D159" s="23" t="n">
        <v>40654.9166666667</v>
      </c>
      <c r="E159" s="23" t="n">
        <v>40655.1770833333</v>
      </c>
      <c r="F159" s="23" t="n">
        <v>40659</v>
      </c>
      <c r="G159" s="4" t="n">
        <f aca="false">YEAR(E159)</f>
        <v>2011</v>
      </c>
      <c r="H159" s="4" t="str">
        <f aca="false">IF(E159&lt;DATE(2015,1,1),"2005–2014",IF(E159&lt;DATE(2022,3,5),"2015 – Mar 2022","Mar 2022 – Oct 2026"))</f>
        <v>2005–2014</v>
      </c>
      <c r="I159" s="24" t="n">
        <v>135.218</v>
      </c>
      <c r="J159" s="24" t="n">
        <v>134.596</v>
      </c>
      <c r="K159" s="24" t="n">
        <v>137.249</v>
      </c>
      <c r="L159" s="25" t="n">
        <v>3.264</v>
      </c>
      <c r="M159" s="26" t="n">
        <v>62.229</v>
      </c>
      <c r="N159" s="4" t="s">
        <v>34</v>
      </c>
      <c r="O159" s="27" t="n">
        <v>-1.0121</v>
      </c>
      <c r="P159" s="28" t="n">
        <f aca="false">Summary!$C$6*O159</f>
        <v>-0.0050605</v>
      </c>
      <c r="Q159" s="29" t="n">
        <f aca="false">Q158*(1+P159)</f>
        <v>10949.9234721204</v>
      </c>
      <c r="R159" s="29" t="n">
        <f aca="false">MAX(R158,Q159)</f>
        <v>11473.4252080496</v>
      </c>
      <c r="S159" s="30" t="n">
        <f aca="false">Q159/R159-1</f>
        <v>-0.0456273280590988</v>
      </c>
      <c r="T159" s="31" t="n">
        <f aca="false">DATE(YEAR(F159),MONTH(F159),1)</f>
        <v>40634</v>
      </c>
    </row>
    <row r="160" customFormat="false" ht="15" hidden="false" customHeight="true" outlineLevel="0" collapsed="false">
      <c r="A160" s="4" t="n">
        <v>159</v>
      </c>
      <c r="B160" s="4" t="s">
        <v>28</v>
      </c>
      <c r="C160" s="4" t="s">
        <v>54</v>
      </c>
      <c r="D160" s="23" t="n">
        <v>40659.9166666667</v>
      </c>
      <c r="E160" s="23" t="n">
        <v>40660.3541666667</v>
      </c>
      <c r="F160" s="23" t="n">
        <v>40660.3645833333</v>
      </c>
      <c r="G160" s="4" t="n">
        <f aca="false">YEAR(E160)</f>
        <v>2011</v>
      </c>
      <c r="H160" s="4" t="str">
        <f aca="false">IF(E160&lt;DATE(2015,1,1),"2005–2014",IF(E160&lt;DATE(2022,3,5),"2015 – Mar 2022","Mar 2022 – Oct 2026"))</f>
        <v>2005–2014</v>
      </c>
      <c r="I160" s="24" t="n">
        <v>135.206</v>
      </c>
      <c r="J160" s="24" t="n">
        <v>135.751</v>
      </c>
      <c r="K160" s="24" t="n">
        <v>133.476</v>
      </c>
      <c r="L160" s="25" t="n">
        <v>3.172</v>
      </c>
      <c r="M160" s="26" t="n">
        <v>54.534</v>
      </c>
      <c r="N160" s="4" t="s">
        <v>35</v>
      </c>
      <c r="O160" s="27" t="n">
        <v>0.0413</v>
      </c>
      <c r="P160" s="28" t="n">
        <f aca="false">Summary!$C$6*O160</f>
        <v>0.0002065</v>
      </c>
      <c r="Q160" s="29" t="n">
        <f aca="false">Q159*(1+P160)</f>
        <v>10952.1846313174</v>
      </c>
      <c r="R160" s="29" t="n">
        <f aca="false">MAX(R159,Q160)</f>
        <v>11473.4252080496</v>
      </c>
      <c r="S160" s="30" t="n">
        <f aca="false">Q160/R160-1</f>
        <v>-0.045430250102343</v>
      </c>
      <c r="T160" s="31" t="n">
        <f aca="false">DATE(YEAR(F160),MONTH(F160),1)</f>
        <v>40634</v>
      </c>
    </row>
    <row r="161" customFormat="false" ht="15" hidden="false" customHeight="true" outlineLevel="0" collapsed="false">
      <c r="A161" s="4" t="n">
        <v>160</v>
      </c>
      <c r="B161" s="4" t="s">
        <v>27</v>
      </c>
      <c r="C161" s="4" t="s">
        <v>54</v>
      </c>
      <c r="D161" s="23" t="n">
        <v>40669.9166666667</v>
      </c>
      <c r="E161" s="23" t="n">
        <v>40671.84375</v>
      </c>
      <c r="F161" s="23" t="n">
        <v>40673.9166666667</v>
      </c>
      <c r="G161" s="4" t="n">
        <f aca="false">YEAR(E161)</f>
        <v>2011</v>
      </c>
      <c r="H161" s="4" t="str">
        <f aca="false">IF(E161&lt;DATE(2015,1,1),"2005–2014",IF(E161&lt;DATE(2022,3,5),"2015 – Mar 2022","Mar 2022 – Oct 2026"))</f>
        <v>2005–2014</v>
      </c>
      <c r="I161" s="24" t="n">
        <v>131.965</v>
      </c>
      <c r="J161" s="24" t="n">
        <v>132.554</v>
      </c>
      <c r="K161" s="24" t="n">
        <v>130.164</v>
      </c>
      <c r="L161" s="25" t="n">
        <v>3.061</v>
      </c>
      <c r="M161" s="26" t="n">
        <v>58.851</v>
      </c>
      <c r="N161" s="4" t="s">
        <v>34</v>
      </c>
      <c r="O161" s="27" t="n">
        <v>-1.0127</v>
      </c>
      <c r="P161" s="28" t="n">
        <f aca="false">Summary!$C$6*O161</f>
        <v>-0.0050635</v>
      </c>
      <c r="Q161" s="29" t="n">
        <f aca="false">Q160*(1+P161)</f>
        <v>10896.7282444367</v>
      </c>
      <c r="R161" s="29" t="n">
        <f aca="false">MAX(R160,Q161)</f>
        <v>11473.4252080496</v>
      </c>
      <c r="S161" s="30" t="n">
        <f aca="false">Q161/R161-1</f>
        <v>-0.0502637140309499</v>
      </c>
      <c r="T161" s="31" t="n">
        <f aca="false">DATE(YEAR(F161),MONTH(F161),1)</f>
        <v>40664</v>
      </c>
    </row>
    <row r="162" customFormat="false" ht="15" hidden="false" customHeight="true" outlineLevel="0" collapsed="false">
      <c r="A162" s="4" t="n">
        <v>161</v>
      </c>
      <c r="B162" s="4" t="s">
        <v>28</v>
      </c>
      <c r="C162" s="4" t="s">
        <v>53</v>
      </c>
      <c r="D162" s="23" t="n">
        <v>40680.9166666667</v>
      </c>
      <c r="E162" s="23" t="n">
        <v>40681.15625</v>
      </c>
      <c r="F162" s="23" t="n">
        <v>40681.3333333333</v>
      </c>
      <c r="G162" s="4" t="n">
        <f aca="false">YEAR(E162)</f>
        <v>2011</v>
      </c>
      <c r="H162" s="4" t="str">
        <f aca="false">IF(E162&lt;DATE(2015,1,1),"2005–2014",IF(E162&lt;DATE(2022,3,5),"2015 – Mar 2022","Mar 2022 – Oct 2026"))</f>
        <v>2005–2014</v>
      </c>
      <c r="I162" s="24" t="n">
        <v>131.894</v>
      </c>
      <c r="J162" s="24" t="n">
        <v>131.324</v>
      </c>
      <c r="K162" s="24" t="n">
        <v>133.908</v>
      </c>
      <c r="L162" s="25" t="n">
        <v>3.534</v>
      </c>
      <c r="M162" s="26" t="n">
        <v>56.982</v>
      </c>
      <c r="N162" s="4" t="s">
        <v>34</v>
      </c>
      <c r="O162" s="27" t="n">
        <v>-1.0132</v>
      </c>
      <c r="P162" s="28" t="n">
        <f aca="false">Summary!$C$6*O162</f>
        <v>-0.005066</v>
      </c>
      <c r="Q162" s="29" t="n">
        <f aca="false">Q161*(1+P162)</f>
        <v>10841.5254191504</v>
      </c>
      <c r="R162" s="29" t="n">
        <f aca="false">MAX(R161,Q162)</f>
        <v>11473.4252080496</v>
      </c>
      <c r="S162" s="30" t="n">
        <f aca="false">Q162/R162-1</f>
        <v>-0.0550750780556691</v>
      </c>
      <c r="T162" s="31" t="n">
        <f aca="false">DATE(YEAR(F162),MONTH(F162),1)</f>
        <v>40664</v>
      </c>
    </row>
    <row r="163" customFormat="false" ht="15" hidden="false" customHeight="true" outlineLevel="0" collapsed="false">
      <c r="A163" s="4" t="n">
        <v>162</v>
      </c>
      <c r="B163" s="4" t="s">
        <v>27</v>
      </c>
      <c r="C163" s="4" t="s">
        <v>53</v>
      </c>
      <c r="D163" s="23" t="n">
        <v>40681.9166666667</v>
      </c>
      <c r="E163" s="23" t="n">
        <v>40682.28125</v>
      </c>
      <c r="F163" s="23" t="n">
        <v>40682.5833333333</v>
      </c>
      <c r="G163" s="4" t="n">
        <f aca="false">YEAR(E163)</f>
        <v>2011</v>
      </c>
      <c r="H163" s="4" t="str">
        <f aca="false">IF(E163&lt;DATE(2015,1,1),"2005–2014",IF(E163&lt;DATE(2022,3,5),"2015 – Mar 2022","Mar 2022 – Oct 2026"))</f>
        <v>2005–2014</v>
      </c>
      <c r="I163" s="24" t="n">
        <v>132.089</v>
      </c>
      <c r="J163" s="24" t="n">
        <v>131.509</v>
      </c>
      <c r="K163" s="24" t="n">
        <v>133.906</v>
      </c>
      <c r="L163" s="25" t="n">
        <v>3.132</v>
      </c>
      <c r="M163" s="26" t="n">
        <v>58.02</v>
      </c>
      <c r="N163" s="4" t="s">
        <v>35</v>
      </c>
      <c r="O163" s="27" t="n">
        <v>0.0388</v>
      </c>
      <c r="P163" s="28" t="n">
        <f aca="false">Summary!$C$6*O163</f>
        <v>0.000194</v>
      </c>
      <c r="Q163" s="29" t="n">
        <f aca="false">Q162*(1+P163)</f>
        <v>10843.6286750817</v>
      </c>
      <c r="R163" s="29" t="n">
        <f aca="false">MAX(R162,Q163)</f>
        <v>11473.4252080496</v>
      </c>
      <c r="S163" s="30" t="n">
        <f aca="false">Q163/R163-1</f>
        <v>-0.0548917626208119</v>
      </c>
      <c r="T163" s="31" t="n">
        <f aca="false">DATE(YEAR(F163),MONTH(F163),1)</f>
        <v>40664</v>
      </c>
    </row>
    <row r="164" customFormat="false" ht="15" hidden="false" customHeight="true" outlineLevel="0" collapsed="false">
      <c r="A164" s="4" t="n">
        <v>163</v>
      </c>
      <c r="B164" s="4" t="s">
        <v>28</v>
      </c>
      <c r="C164" s="4" t="s">
        <v>53</v>
      </c>
      <c r="D164" s="23" t="n">
        <v>40682.9166666667</v>
      </c>
      <c r="E164" s="23" t="n">
        <v>40686.2916666667</v>
      </c>
      <c r="F164" s="23" t="n">
        <v>40686.3125</v>
      </c>
      <c r="G164" s="4" t="n">
        <f aca="false">YEAR(E164)</f>
        <v>2011</v>
      </c>
      <c r="H164" s="4" t="str">
        <f aca="false">IF(E164&lt;DATE(2015,1,1),"2005–2014",IF(E164&lt;DATE(2022,3,5),"2015 – Mar 2022","Mar 2022 – Oct 2026"))</f>
        <v>2005–2014</v>
      </c>
      <c r="I164" s="24" t="n">
        <v>131.939</v>
      </c>
      <c r="J164" s="24" t="n">
        <v>131.367</v>
      </c>
      <c r="K164" s="24" t="n">
        <v>133.907</v>
      </c>
      <c r="L164" s="25" t="n">
        <v>3.444</v>
      </c>
      <c r="M164" s="26" t="n">
        <v>57.153</v>
      </c>
      <c r="N164" s="4" t="s">
        <v>34</v>
      </c>
      <c r="O164" s="27" t="n">
        <v>-1.0131</v>
      </c>
      <c r="P164" s="28" t="n">
        <f aca="false">Summary!$C$6*O164</f>
        <v>-0.0050655</v>
      </c>
      <c r="Q164" s="29" t="n">
        <f aca="false">Q163*(1+P164)</f>
        <v>10788.7002740281</v>
      </c>
      <c r="R164" s="29" t="n">
        <f aca="false">MAX(R163,Q164)</f>
        <v>11473.4252080496</v>
      </c>
      <c r="S164" s="30" t="n">
        <f aca="false">Q164/R164-1</f>
        <v>-0.059679208397256</v>
      </c>
      <c r="T164" s="31" t="n">
        <f aca="false">DATE(YEAR(F164),MONTH(F164),1)</f>
        <v>40664</v>
      </c>
    </row>
    <row r="165" customFormat="false" ht="15" hidden="false" customHeight="true" outlineLevel="0" collapsed="false">
      <c r="A165" s="4" t="n">
        <v>164</v>
      </c>
      <c r="B165" s="4" t="s">
        <v>27</v>
      </c>
      <c r="C165" s="4" t="s">
        <v>53</v>
      </c>
      <c r="D165" s="23" t="n">
        <v>40686.9166666667</v>
      </c>
      <c r="E165" s="23" t="n">
        <v>40687.375</v>
      </c>
      <c r="F165" s="23" t="n">
        <v>40694.09375</v>
      </c>
      <c r="G165" s="4" t="n">
        <f aca="false">YEAR(E165)</f>
        <v>2011</v>
      </c>
      <c r="H165" s="4" t="str">
        <f aca="false">IF(E165&lt;DATE(2015,1,1),"2005–2014",IF(E165&lt;DATE(2022,3,5),"2015 – Mar 2022","Mar 2022 – Oct 2026"))</f>
        <v>2005–2014</v>
      </c>
      <c r="I165" s="24" t="n">
        <v>131.928</v>
      </c>
      <c r="J165" s="24" t="n">
        <v>131.4</v>
      </c>
      <c r="K165" s="24" t="n">
        <v>133.913</v>
      </c>
      <c r="L165" s="25" t="n">
        <v>3.76</v>
      </c>
      <c r="M165" s="26" t="n">
        <v>52.787</v>
      </c>
      <c r="N165" s="4" t="s">
        <v>33</v>
      </c>
      <c r="O165" s="27" t="n">
        <v>3.7597</v>
      </c>
      <c r="P165" s="28" t="n">
        <f aca="false">Summary!$C$6*O165</f>
        <v>0.0187985</v>
      </c>
      <c r="Q165" s="29" t="n">
        <f aca="false">Q164*(1+P165)</f>
        <v>10991.5116561294</v>
      </c>
      <c r="R165" s="29" t="n">
        <f aca="false">MAX(R164,Q165)</f>
        <v>11473.4252080496</v>
      </c>
      <c r="S165" s="30" t="n">
        <f aca="false">Q165/R165-1</f>
        <v>-0.042002587996312</v>
      </c>
      <c r="T165" s="31" t="n">
        <f aca="false">DATE(YEAR(F165),MONTH(F165),1)</f>
        <v>40664</v>
      </c>
    </row>
    <row r="166" customFormat="false" ht="15" hidden="false" customHeight="true" outlineLevel="0" collapsed="false">
      <c r="A166" s="4" t="n">
        <v>165</v>
      </c>
      <c r="B166" s="4" t="s">
        <v>27</v>
      </c>
      <c r="C166" s="4" t="s">
        <v>54</v>
      </c>
      <c r="D166" s="23" t="n">
        <v>40694.9166666667</v>
      </c>
      <c r="E166" s="23" t="n">
        <v>40695.1875</v>
      </c>
      <c r="F166" s="23" t="n">
        <v>40695.3125</v>
      </c>
      <c r="G166" s="4" t="n">
        <f aca="false">YEAR(E166)</f>
        <v>2011</v>
      </c>
      <c r="H166" s="4" t="str">
        <f aca="false">IF(E166&lt;DATE(2015,1,1),"2005–2014",IF(E166&lt;DATE(2022,3,5),"2015 – Mar 2022","Mar 2022 – Oct 2026"))</f>
        <v>2005–2014</v>
      </c>
      <c r="I166" s="24" t="n">
        <v>133.876</v>
      </c>
      <c r="J166" s="24" t="n">
        <v>134.37</v>
      </c>
      <c r="K166" s="24" t="n">
        <v>132.391</v>
      </c>
      <c r="L166" s="25" t="n">
        <v>3.007</v>
      </c>
      <c r="M166" s="26" t="n">
        <v>49.377</v>
      </c>
      <c r="N166" s="4" t="s">
        <v>34</v>
      </c>
      <c r="O166" s="27" t="n">
        <v>-1.0152</v>
      </c>
      <c r="P166" s="28" t="n">
        <f aca="false">Summary!$C$6*O166</f>
        <v>-0.005076</v>
      </c>
      <c r="Q166" s="29" t="n">
        <f aca="false">Q165*(1+P166)</f>
        <v>10935.7187429629</v>
      </c>
      <c r="R166" s="29" t="n">
        <f aca="false">MAX(R165,Q166)</f>
        <v>11473.4252080496</v>
      </c>
      <c r="S166" s="30" t="n">
        <f aca="false">Q166/R166-1</f>
        <v>-0.0468653828596427</v>
      </c>
      <c r="T166" s="31" t="n">
        <f aca="false">DATE(YEAR(F166),MONTH(F166),1)</f>
        <v>40695</v>
      </c>
    </row>
    <row r="167" customFormat="false" ht="15" hidden="false" customHeight="true" outlineLevel="0" collapsed="false">
      <c r="A167" s="4" t="n">
        <v>166</v>
      </c>
      <c r="B167" s="4" t="s">
        <v>28</v>
      </c>
      <c r="C167" s="4" t="s">
        <v>54</v>
      </c>
      <c r="D167" s="23" t="n">
        <v>40695.9166666667</v>
      </c>
      <c r="E167" s="23" t="n">
        <v>40696.0416666667</v>
      </c>
      <c r="F167" s="23" t="n">
        <v>40696.3645833333</v>
      </c>
      <c r="G167" s="4" t="n">
        <f aca="false">YEAR(E167)</f>
        <v>2011</v>
      </c>
      <c r="H167" s="4" t="str">
        <f aca="false">IF(E167&lt;DATE(2015,1,1),"2005–2014",IF(E167&lt;DATE(2022,3,5),"2015 – Mar 2022","Mar 2022 – Oct 2026"))</f>
        <v>2005–2014</v>
      </c>
      <c r="I167" s="24" t="n">
        <v>132.608</v>
      </c>
      <c r="J167" s="24" t="n">
        <v>133.136</v>
      </c>
      <c r="K167" s="24" t="n">
        <v>130.9</v>
      </c>
      <c r="L167" s="25" t="n">
        <v>3.233</v>
      </c>
      <c r="M167" s="26" t="n">
        <v>52.811</v>
      </c>
      <c r="N167" s="4" t="s">
        <v>35</v>
      </c>
      <c r="O167" s="27" t="n">
        <v>0.0426</v>
      </c>
      <c r="P167" s="28" t="n">
        <f aca="false">Summary!$C$6*O167</f>
        <v>0.000213</v>
      </c>
      <c r="Q167" s="29" t="n">
        <f aca="false">Q166*(1+P167)</f>
        <v>10938.0480510551</v>
      </c>
      <c r="R167" s="29" t="n">
        <f aca="false">MAX(R166,Q167)</f>
        <v>11473.4252080496</v>
      </c>
      <c r="S167" s="30" t="n">
        <f aca="false">Q167/R167-1</f>
        <v>-0.0466623651861917</v>
      </c>
      <c r="T167" s="31" t="n">
        <f aca="false">DATE(YEAR(F167),MONTH(F167),1)</f>
        <v>40695</v>
      </c>
    </row>
    <row r="168" customFormat="false" ht="15" hidden="false" customHeight="true" outlineLevel="0" collapsed="false">
      <c r="A168" s="4" t="n">
        <v>167</v>
      </c>
      <c r="B168" s="4" t="s">
        <v>27</v>
      </c>
      <c r="C168" s="4" t="s">
        <v>53</v>
      </c>
      <c r="D168" s="23" t="n">
        <v>40714.9166666667</v>
      </c>
      <c r="E168" s="23" t="n">
        <v>40715.3541666667</v>
      </c>
      <c r="F168" s="23" t="n">
        <v>40716.3541666667</v>
      </c>
      <c r="G168" s="4" t="n">
        <f aca="false">YEAR(E168)</f>
        <v>2011</v>
      </c>
      <c r="H168" s="4" t="str">
        <f aca="false">IF(E168&lt;DATE(2015,1,1),"2005–2014",IF(E168&lt;DATE(2022,3,5),"2015 – Mar 2022","Mar 2022 – Oct 2026"))</f>
        <v>2005–2014</v>
      </c>
      <c r="I168" s="24" t="n">
        <v>129.982</v>
      </c>
      <c r="J168" s="24" t="n">
        <v>129.511</v>
      </c>
      <c r="K168" s="24" t="n">
        <v>131.477</v>
      </c>
      <c r="L168" s="25" t="n">
        <v>3.175</v>
      </c>
      <c r="M168" s="26" t="n">
        <v>47.067</v>
      </c>
      <c r="N168" s="4" t="s">
        <v>34</v>
      </c>
      <c r="O168" s="27" t="n">
        <v>-1.0159</v>
      </c>
      <c r="P168" s="28" t="n">
        <f aca="false">Summary!$C$6*O168</f>
        <v>-0.0050795</v>
      </c>
      <c r="Q168" s="29" t="n">
        <f aca="false">Q167*(1+P168)</f>
        <v>10882.4882359798</v>
      </c>
      <c r="R168" s="29" t="n">
        <f aca="false">MAX(R167,Q168)</f>
        <v>11473.4252080496</v>
      </c>
      <c r="S168" s="30" t="n">
        <f aca="false">Q168/R168-1</f>
        <v>-0.0515048437022284</v>
      </c>
      <c r="T168" s="31" t="n">
        <f aca="false">DATE(YEAR(F168),MONTH(F168),1)</f>
        <v>40695</v>
      </c>
    </row>
    <row r="169" customFormat="false" ht="15" hidden="false" customHeight="true" outlineLevel="0" collapsed="false">
      <c r="A169" s="4" t="n">
        <v>168</v>
      </c>
      <c r="B169" s="4" t="s">
        <v>27</v>
      </c>
      <c r="C169" s="4" t="s">
        <v>54</v>
      </c>
      <c r="D169" s="23" t="n">
        <v>40717.9166666667</v>
      </c>
      <c r="E169" s="23" t="n">
        <v>40718.0416666667</v>
      </c>
      <c r="F169" s="23" t="n">
        <v>40721.0104166667</v>
      </c>
      <c r="G169" s="4" t="n">
        <f aca="false">YEAR(E169)</f>
        <v>2011</v>
      </c>
      <c r="H169" s="4" t="str">
        <f aca="false">IF(E169&lt;DATE(2015,1,1),"2005–2014",IF(E169&lt;DATE(2022,3,5),"2015 – Mar 2022","Mar 2022 – Oct 2026"))</f>
        <v>2005–2014</v>
      </c>
      <c r="I169" s="24" t="n">
        <v>128.89</v>
      </c>
      <c r="J169" s="24" t="n">
        <v>129.353</v>
      </c>
      <c r="K169" s="24" t="n">
        <v>127.124</v>
      </c>
      <c r="L169" s="25" t="n">
        <v>3.811</v>
      </c>
      <c r="M169" s="26" t="n">
        <v>46.329</v>
      </c>
      <c r="N169" s="4" t="s">
        <v>35</v>
      </c>
      <c r="O169" s="27" t="n">
        <v>0.0486</v>
      </c>
      <c r="P169" s="28" t="n">
        <f aca="false">Summary!$C$6*O169</f>
        <v>0.000243</v>
      </c>
      <c r="Q169" s="29" t="n">
        <f aca="false">Q168*(1+P169)</f>
        <v>10885.1326806211</v>
      </c>
      <c r="R169" s="29" t="n">
        <f aca="false">MAX(R168,Q169)</f>
        <v>11473.4252080496</v>
      </c>
      <c r="S169" s="30" t="n">
        <f aca="false">Q169/R169-1</f>
        <v>-0.0512743593792481</v>
      </c>
      <c r="T169" s="31" t="n">
        <f aca="false">DATE(YEAR(F169),MONTH(F169),1)</f>
        <v>40695</v>
      </c>
    </row>
    <row r="170" customFormat="false" ht="15" hidden="false" customHeight="true" outlineLevel="0" collapsed="false">
      <c r="A170" s="4" t="n">
        <v>169</v>
      </c>
      <c r="B170" s="4" t="s">
        <v>27</v>
      </c>
      <c r="C170" s="4" t="s">
        <v>53</v>
      </c>
      <c r="D170" s="23" t="n">
        <v>40722.9166666667</v>
      </c>
      <c r="E170" s="23" t="n">
        <v>40723.0833333333</v>
      </c>
      <c r="F170" s="23" t="n">
        <v>40723.5520833333</v>
      </c>
      <c r="G170" s="4" t="n">
        <f aca="false">YEAR(E170)</f>
        <v>2011</v>
      </c>
      <c r="H170" s="4" t="str">
        <f aca="false">IF(E170&lt;DATE(2015,1,1),"2005–2014",IF(E170&lt;DATE(2022,3,5),"2015 – Mar 2022","Mar 2022 – Oct 2026"))</f>
        <v>2005–2014</v>
      </c>
      <c r="I170" s="24" t="n">
        <v>129.632</v>
      </c>
      <c r="J170" s="24" t="n">
        <v>129.197</v>
      </c>
      <c r="K170" s="24" t="n">
        <v>131.136</v>
      </c>
      <c r="L170" s="25" t="n">
        <v>3.46</v>
      </c>
      <c r="M170" s="26" t="n">
        <v>43.464</v>
      </c>
      <c r="N170" s="4" t="s">
        <v>34</v>
      </c>
      <c r="O170" s="27" t="n">
        <v>-1.0173</v>
      </c>
      <c r="P170" s="28" t="n">
        <f aca="false">Summary!$C$6*O170</f>
        <v>-0.0050865</v>
      </c>
      <c r="Q170" s="29" t="n">
        <f aca="false">Q169*(1+P170)</f>
        <v>10829.7654532412</v>
      </c>
      <c r="R170" s="29" t="n">
        <f aca="false">MAX(R169,Q170)</f>
        <v>11473.4252080496</v>
      </c>
      <c r="S170" s="30" t="n">
        <f aca="false">Q170/R170-1</f>
        <v>-0.0561000523502655</v>
      </c>
      <c r="T170" s="31" t="n">
        <f aca="false">DATE(YEAR(F170),MONTH(F170),1)</f>
        <v>40695</v>
      </c>
    </row>
    <row r="171" customFormat="false" ht="15" hidden="false" customHeight="true" outlineLevel="0" collapsed="false">
      <c r="A171" s="4" t="n">
        <v>170</v>
      </c>
      <c r="B171" s="4" t="s">
        <v>27</v>
      </c>
      <c r="C171" s="4" t="s">
        <v>53</v>
      </c>
      <c r="D171" s="23" t="n">
        <v>40723.9166666667</v>
      </c>
      <c r="E171" s="23" t="n">
        <v>40724.4791666667</v>
      </c>
      <c r="F171" s="23" t="n">
        <v>40729.3541666667</v>
      </c>
      <c r="G171" s="4" t="n">
        <f aca="false">YEAR(E171)</f>
        <v>2011</v>
      </c>
      <c r="H171" s="4" t="str">
        <f aca="false">IF(E171&lt;DATE(2015,1,1),"2005–2014",IF(E171&lt;DATE(2022,3,5),"2015 – Mar 2022","Mar 2022 – Oct 2026"))</f>
        <v>2005–2014</v>
      </c>
      <c r="I171" s="24" t="n">
        <v>128.83</v>
      </c>
      <c r="J171" s="24" t="n">
        <v>128.398</v>
      </c>
      <c r="K171" s="24" t="n">
        <v>130.252</v>
      </c>
      <c r="L171" s="25" t="n">
        <v>3.29</v>
      </c>
      <c r="M171" s="26" t="n">
        <v>43.227</v>
      </c>
      <c r="N171" s="4" t="s">
        <v>33</v>
      </c>
      <c r="O171" s="27" t="n">
        <v>3.2903</v>
      </c>
      <c r="P171" s="28" t="n">
        <f aca="false">Summary!$C$6*O171</f>
        <v>0.0164515</v>
      </c>
      <c r="Q171" s="29" t="n">
        <f aca="false">Q170*(1+P171)</f>
        <v>11007.9313395952</v>
      </c>
      <c r="R171" s="29" t="n">
        <f aca="false">MAX(R170,Q171)</f>
        <v>11473.4252080496</v>
      </c>
      <c r="S171" s="30" t="n">
        <f aca="false">Q171/R171-1</f>
        <v>-0.0405714823615058</v>
      </c>
      <c r="T171" s="31" t="n">
        <f aca="false">DATE(YEAR(F171),MONTH(F171),1)</f>
        <v>40725</v>
      </c>
    </row>
    <row r="172" customFormat="false" ht="15" hidden="false" customHeight="true" outlineLevel="0" collapsed="false">
      <c r="A172" s="4" t="n">
        <v>171</v>
      </c>
      <c r="B172" s="4" t="s">
        <v>27</v>
      </c>
      <c r="C172" s="4" t="s">
        <v>53</v>
      </c>
      <c r="D172" s="23" t="n">
        <v>40771.9166666667</v>
      </c>
      <c r="E172" s="23" t="n">
        <v>40772.2083333333</v>
      </c>
      <c r="F172" s="23" t="n">
        <v>40772.3541666667</v>
      </c>
      <c r="G172" s="4" t="n">
        <f aca="false">YEAR(E172)</f>
        <v>2011</v>
      </c>
      <c r="H172" s="4" t="str">
        <f aca="false">IF(E172&lt;DATE(2015,1,1),"2005–2014",IF(E172&lt;DATE(2022,3,5),"2015 – Mar 2022","Mar 2022 – Oct 2026"))</f>
        <v>2005–2014</v>
      </c>
      <c r="I172" s="24" t="n">
        <v>126.042</v>
      </c>
      <c r="J172" s="24" t="n">
        <v>125.458</v>
      </c>
      <c r="K172" s="24" t="n">
        <v>128.118</v>
      </c>
      <c r="L172" s="25" t="n">
        <v>3.556</v>
      </c>
      <c r="M172" s="26" t="n">
        <v>58.369</v>
      </c>
      <c r="N172" s="4" t="s">
        <v>34</v>
      </c>
      <c r="O172" s="27" t="n">
        <v>-1.0128</v>
      </c>
      <c r="P172" s="28" t="n">
        <f aca="false">Summary!$C$6*O172</f>
        <v>-0.005064</v>
      </c>
      <c r="Q172" s="29" t="n">
        <f aca="false">Q171*(1+P172)</f>
        <v>10952.1871752914</v>
      </c>
      <c r="R172" s="29" t="n">
        <f aca="false">MAX(R171,Q172)</f>
        <v>11473.4252080496</v>
      </c>
      <c r="S172" s="30" t="n">
        <f aca="false">Q172/R172-1</f>
        <v>-0.045430028374827</v>
      </c>
      <c r="T172" s="31" t="n">
        <f aca="false">DATE(YEAR(F172),MONTH(F172),1)</f>
        <v>40756</v>
      </c>
    </row>
    <row r="173" customFormat="false" ht="15" hidden="false" customHeight="true" outlineLevel="0" collapsed="false">
      <c r="A173" s="4" t="n">
        <v>172</v>
      </c>
      <c r="B173" s="4" t="s">
        <v>27</v>
      </c>
      <c r="C173" s="4" t="s">
        <v>53</v>
      </c>
      <c r="D173" s="23" t="n">
        <v>40772.9166666667</v>
      </c>
      <c r="E173" s="23" t="n">
        <v>40773.1458333333</v>
      </c>
      <c r="F173" s="23" t="n">
        <v>40773.5833333333</v>
      </c>
      <c r="G173" s="4" t="n">
        <f aca="false">YEAR(E173)</f>
        <v>2011</v>
      </c>
      <c r="H173" s="4" t="str">
        <f aca="false">IF(E173&lt;DATE(2015,1,1),"2005–2014",IF(E173&lt;DATE(2022,3,5),"2015 – Mar 2022","Mar 2022 – Oct 2026"))</f>
        <v>2005–2014</v>
      </c>
      <c r="I173" s="24" t="n">
        <v>126.659</v>
      </c>
      <c r="J173" s="24" t="n">
        <v>126.067</v>
      </c>
      <c r="K173" s="24" t="n">
        <v>128.566</v>
      </c>
      <c r="L173" s="25" t="n">
        <v>3.22</v>
      </c>
      <c r="M173" s="26" t="n">
        <v>59.216</v>
      </c>
      <c r="N173" s="4" t="s">
        <v>34</v>
      </c>
      <c r="O173" s="27" t="n">
        <v>-1.0127</v>
      </c>
      <c r="P173" s="28" t="n">
        <f aca="false">Summary!$C$6*O173</f>
        <v>-0.0050635</v>
      </c>
      <c r="Q173" s="29" t="n">
        <f aca="false">Q172*(1+P173)</f>
        <v>10896.7307755294</v>
      </c>
      <c r="R173" s="29" t="n">
        <f aca="false">MAX(R172,Q173)</f>
        <v>11473.4252080496</v>
      </c>
      <c r="S173" s="30" t="n">
        <f aca="false">Q173/R173-1</f>
        <v>-0.0502634934261511</v>
      </c>
      <c r="T173" s="31" t="n">
        <f aca="false">DATE(YEAR(F173),MONTH(F173),1)</f>
        <v>40756</v>
      </c>
    </row>
    <row r="174" customFormat="false" ht="15" hidden="false" customHeight="true" outlineLevel="0" collapsed="false">
      <c r="A174" s="4" t="n">
        <v>173</v>
      </c>
      <c r="B174" s="4" t="s">
        <v>28</v>
      </c>
      <c r="C174" s="4" t="s">
        <v>53</v>
      </c>
      <c r="D174" s="23" t="n">
        <v>40777.9166666667</v>
      </c>
      <c r="E174" s="23" t="n">
        <v>40779.5208333333</v>
      </c>
      <c r="F174" s="23" t="n">
        <v>40781.4791666667</v>
      </c>
      <c r="G174" s="4" t="n">
        <f aca="false">YEAR(E174)</f>
        <v>2011</v>
      </c>
      <c r="H174" s="4" t="str">
        <f aca="false">IF(E174&lt;DATE(2015,1,1),"2005–2014",IF(E174&lt;DATE(2022,3,5),"2015 – Mar 2022","Mar 2022 – Oct 2026"))</f>
        <v>2005–2014</v>
      </c>
      <c r="I174" s="24" t="n">
        <v>125.946</v>
      </c>
      <c r="J174" s="24" t="n">
        <v>125.414</v>
      </c>
      <c r="K174" s="24" t="n">
        <v>128.124</v>
      </c>
      <c r="L174" s="25" t="n">
        <v>4.096</v>
      </c>
      <c r="M174" s="26" t="n">
        <v>53.18</v>
      </c>
      <c r="N174" s="4" t="s">
        <v>34</v>
      </c>
      <c r="O174" s="27" t="n">
        <v>-1.0141</v>
      </c>
      <c r="P174" s="28" t="n">
        <f aca="false">Summary!$C$6*O174</f>
        <v>-0.0050705</v>
      </c>
      <c r="Q174" s="29" t="n">
        <f aca="false">Q173*(1+P174)</f>
        <v>10841.478902132</v>
      </c>
      <c r="R174" s="29" t="n">
        <f aca="false">MAX(R173,Q174)</f>
        <v>11473.4252080496</v>
      </c>
      <c r="S174" s="30" t="n">
        <f aca="false">Q174/R174-1</f>
        <v>-0.0550791323827338</v>
      </c>
      <c r="T174" s="31" t="n">
        <f aca="false">DATE(YEAR(F174),MONTH(F174),1)</f>
        <v>40756</v>
      </c>
    </row>
    <row r="175" customFormat="false" ht="15" hidden="false" customHeight="true" outlineLevel="0" collapsed="false">
      <c r="A175" s="4" t="n">
        <v>174</v>
      </c>
      <c r="B175" s="4" t="s">
        <v>28</v>
      </c>
      <c r="C175" s="4" t="s">
        <v>54</v>
      </c>
      <c r="D175" s="23" t="n">
        <v>40781.9166666667</v>
      </c>
      <c r="E175" s="23" t="n">
        <v>40784.5416666667</v>
      </c>
      <c r="F175" s="23" t="n">
        <v>40784.5833333333</v>
      </c>
      <c r="G175" s="4" t="n">
        <f aca="false">YEAR(E175)</f>
        <v>2011</v>
      </c>
      <c r="H175" s="4" t="str">
        <f aca="false">IF(E175&lt;DATE(2015,1,1),"2005–2014",IF(E175&lt;DATE(2022,3,5),"2015 – Mar 2022","Mar 2022 – Oct 2026"))</f>
        <v>2005–2014</v>
      </c>
      <c r="I175" s="24" t="n">
        <v>125.951</v>
      </c>
      <c r="J175" s="24" t="n">
        <v>126.466</v>
      </c>
      <c r="K175" s="24" t="n">
        <v>123.91</v>
      </c>
      <c r="L175" s="25" t="n">
        <v>3.962</v>
      </c>
      <c r="M175" s="26" t="n">
        <v>51.511</v>
      </c>
      <c r="N175" s="4" t="s">
        <v>34</v>
      </c>
      <c r="O175" s="27" t="n">
        <v>-1.0146</v>
      </c>
      <c r="P175" s="28" t="n">
        <f aca="false">Summary!$C$6*O175</f>
        <v>-0.005073</v>
      </c>
      <c r="Q175" s="29" t="n">
        <f aca="false">Q174*(1+P175)</f>
        <v>10786.4800796615</v>
      </c>
      <c r="R175" s="29" t="n">
        <f aca="false">MAX(R174,Q175)</f>
        <v>11473.4252080496</v>
      </c>
      <c r="S175" s="30" t="n">
        <f aca="false">Q175/R175-1</f>
        <v>-0.0598727159441561</v>
      </c>
      <c r="T175" s="31" t="n">
        <f aca="false">DATE(YEAR(F175),MONTH(F175),1)</f>
        <v>40756</v>
      </c>
    </row>
    <row r="176" customFormat="false" ht="15" hidden="false" customHeight="true" outlineLevel="0" collapsed="false">
      <c r="A176" s="4" t="n">
        <v>175</v>
      </c>
      <c r="B176" s="4" t="s">
        <v>28</v>
      </c>
      <c r="C176" s="4" t="s">
        <v>53</v>
      </c>
      <c r="D176" s="23" t="n">
        <v>40898.9166666667</v>
      </c>
      <c r="E176" s="23" t="n">
        <v>40900.6770833333</v>
      </c>
      <c r="F176" s="23" t="n">
        <v>40900.8854166667</v>
      </c>
      <c r="G176" s="4" t="n">
        <f aca="false">YEAR(E176)</f>
        <v>2011</v>
      </c>
      <c r="H176" s="4" t="str">
        <f aca="false">IF(E176&lt;DATE(2015,1,1),"2005–2014",IF(E176&lt;DATE(2022,3,5),"2015 – Mar 2022","Mar 2022 – Oct 2026"))</f>
        <v>2005–2014</v>
      </c>
      <c r="I176" s="24" t="n">
        <v>122.053</v>
      </c>
      <c r="J176" s="24" t="n">
        <v>121.66</v>
      </c>
      <c r="K176" s="24" t="n">
        <v>123.444</v>
      </c>
      <c r="L176" s="25" t="n">
        <v>3.542</v>
      </c>
      <c r="M176" s="26" t="n">
        <v>39.279</v>
      </c>
      <c r="N176" s="4" t="s">
        <v>34</v>
      </c>
      <c r="O176" s="27" t="n">
        <v>-1.0191</v>
      </c>
      <c r="P176" s="28" t="n">
        <f aca="false">Summary!$C$6*O176</f>
        <v>-0.0050955</v>
      </c>
      <c r="Q176" s="29" t="n">
        <f aca="false">Q175*(1+P176)</f>
        <v>10731.5175704156</v>
      </c>
      <c r="R176" s="29" t="n">
        <f aca="false">MAX(R175,Q176)</f>
        <v>11473.4252080496</v>
      </c>
      <c r="S176" s="30" t="n">
        <f aca="false">Q176/R176-1</f>
        <v>-0.0646631345200627</v>
      </c>
      <c r="T176" s="31" t="n">
        <f aca="false">DATE(YEAR(F176),MONTH(F176),1)</f>
        <v>40878</v>
      </c>
    </row>
    <row r="177" customFormat="false" ht="15" hidden="false" customHeight="true" outlineLevel="0" collapsed="false">
      <c r="A177" s="4" t="n">
        <v>176</v>
      </c>
      <c r="B177" s="4" t="s">
        <v>28</v>
      </c>
      <c r="C177" s="4" t="s">
        <v>54</v>
      </c>
      <c r="D177" s="23" t="n">
        <v>40900.9166666667</v>
      </c>
      <c r="E177" s="23" t="n">
        <v>40904.3020833333</v>
      </c>
      <c r="F177" s="23" t="n">
        <v>40905.59375</v>
      </c>
      <c r="G177" s="4" t="n">
        <f aca="false">YEAR(E177)</f>
        <v>2011</v>
      </c>
      <c r="H177" s="4" t="str">
        <f aca="false">IF(E177&lt;DATE(2015,1,1),"2005–2014",IF(E177&lt;DATE(2022,3,5),"2015 – Mar 2022","Mar 2022 – Oct 2026"))</f>
        <v>2005–2014</v>
      </c>
      <c r="I177" s="24" t="n">
        <v>122.054</v>
      </c>
      <c r="J177" s="24" t="n">
        <v>122.437</v>
      </c>
      <c r="K177" s="24" t="n">
        <v>120.785</v>
      </c>
      <c r="L177" s="25" t="n">
        <v>3.317</v>
      </c>
      <c r="M177" s="26" t="n">
        <v>38.273</v>
      </c>
      <c r="N177" s="4" t="s">
        <v>33</v>
      </c>
      <c r="O177" s="27" t="n">
        <v>3.3172</v>
      </c>
      <c r="P177" s="28" t="n">
        <f aca="false">Summary!$C$6*O177</f>
        <v>0.016586</v>
      </c>
      <c r="Q177" s="29" t="n">
        <f aca="false">Q176*(1+P177)</f>
        <v>10909.5105208385</v>
      </c>
      <c r="R177" s="29" t="n">
        <f aca="false">MAX(R176,Q177)</f>
        <v>11473.4252080496</v>
      </c>
      <c r="S177" s="30" t="n">
        <f aca="false">Q177/R177-1</f>
        <v>-0.0491496372692125</v>
      </c>
      <c r="T177" s="31" t="n">
        <f aca="false">DATE(YEAR(F177),MONTH(F177),1)</f>
        <v>40878</v>
      </c>
    </row>
    <row r="178" customFormat="false" ht="15" hidden="false" customHeight="true" outlineLevel="0" collapsed="false">
      <c r="A178" s="4" t="n">
        <v>177</v>
      </c>
      <c r="B178" s="4" t="s">
        <v>27</v>
      </c>
      <c r="C178" s="4" t="s">
        <v>54</v>
      </c>
      <c r="D178" s="23" t="n">
        <v>40947.9166666667</v>
      </c>
      <c r="E178" s="23" t="n">
        <v>40948.4479166667</v>
      </c>
      <c r="F178" s="23" t="n">
        <v>40948.5416666667</v>
      </c>
      <c r="G178" s="4" t="n">
        <f aca="false">YEAR(E178)</f>
        <v>2012</v>
      </c>
      <c r="H178" s="4" t="str">
        <f aca="false">IF(E178&lt;DATE(2015,1,1),"2005–2014",IF(E178&lt;DATE(2022,3,5),"2015 – Mar 2022","Mar 2022 – Oct 2026"))</f>
        <v>2005–2014</v>
      </c>
      <c r="I178" s="24" t="n">
        <v>122.196</v>
      </c>
      <c r="J178" s="24" t="n">
        <v>122.591</v>
      </c>
      <c r="K178" s="24" t="n">
        <v>120.786</v>
      </c>
      <c r="L178" s="25" t="n">
        <v>3.574</v>
      </c>
      <c r="M178" s="26" t="n">
        <v>39.451</v>
      </c>
      <c r="N178" s="4" t="s">
        <v>34</v>
      </c>
      <c r="O178" s="27" t="n">
        <v>-1.019</v>
      </c>
      <c r="P178" s="28" t="n">
        <f aca="false">Summary!$C$6*O178</f>
        <v>-0.005095</v>
      </c>
      <c r="Q178" s="29" t="n">
        <f aca="false">Q177*(1+P178)</f>
        <v>10853.9265647348</v>
      </c>
      <c r="R178" s="29" t="n">
        <f aca="false">MAX(R177,Q178)</f>
        <v>11473.4252080496</v>
      </c>
      <c r="S178" s="30" t="n">
        <f aca="false">Q178/R178-1</f>
        <v>-0.0539942198673258</v>
      </c>
      <c r="T178" s="31" t="n">
        <f aca="false">DATE(YEAR(F178),MONTH(F178),1)</f>
        <v>40940</v>
      </c>
    </row>
    <row r="179" customFormat="false" ht="15" hidden="false" customHeight="true" outlineLevel="0" collapsed="false">
      <c r="A179" s="4" t="n">
        <v>178</v>
      </c>
      <c r="B179" s="4" t="s">
        <v>28</v>
      </c>
      <c r="C179" s="4" t="s">
        <v>53</v>
      </c>
      <c r="D179" s="23" t="n">
        <v>40948.9166666667</v>
      </c>
      <c r="E179" s="23" t="n">
        <v>40952.9583333333</v>
      </c>
      <c r="F179" s="23" t="n">
        <v>40954.15625</v>
      </c>
      <c r="G179" s="4" t="n">
        <f aca="false">YEAR(E179)</f>
        <v>2012</v>
      </c>
      <c r="H179" s="4" t="str">
        <f aca="false">IF(E179&lt;DATE(2015,1,1),"2005–2014",IF(E179&lt;DATE(2022,3,5),"2015 – Mar 2022","Mar 2022 – Oct 2026"))</f>
        <v>2005–2014</v>
      </c>
      <c r="I179" s="24" t="n">
        <v>122.033</v>
      </c>
      <c r="J179" s="24" t="n">
        <v>121.63</v>
      </c>
      <c r="K179" s="24" t="n">
        <v>123.443</v>
      </c>
      <c r="L179" s="25" t="n">
        <v>3.497</v>
      </c>
      <c r="M179" s="26" t="n">
        <v>40.317</v>
      </c>
      <c r="N179" s="4" t="s">
        <v>33</v>
      </c>
      <c r="O179" s="27" t="n">
        <v>3.4975</v>
      </c>
      <c r="P179" s="28" t="n">
        <f aca="false">Summary!$C$6*O179</f>
        <v>0.0174875</v>
      </c>
      <c r="Q179" s="29" t="n">
        <f aca="false">Q178*(1+P179)</f>
        <v>11043.7346055356</v>
      </c>
      <c r="R179" s="29" t="n">
        <f aca="false">MAX(R178,Q179)</f>
        <v>11473.4252080496</v>
      </c>
      <c r="S179" s="30" t="n">
        <f aca="false">Q179/R179-1</f>
        <v>-0.0374509437872557</v>
      </c>
      <c r="T179" s="31" t="n">
        <f aca="false">DATE(YEAR(F179),MONTH(F179),1)</f>
        <v>40940</v>
      </c>
    </row>
    <row r="180" customFormat="false" ht="15" hidden="false" customHeight="true" outlineLevel="0" collapsed="false">
      <c r="A180" s="4" t="n">
        <v>179</v>
      </c>
      <c r="B180" s="4" t="s">
        <v>28</v>
      </c>
      <c r="C180" s="4" t="s">
        <v>53</v>
      </c>
      <c r="D180" s="23" t="n">
        <v>40959.9166666667</v>
      </c>
      <c r="E180" s="23" t="n">
        <v>40961.59375</v>
      </c>
      <c r="F180" s="23" t="n">
        <v>40962.8541666667</v>
      </c>
      <c r="G180" s="4" t="n">
        <f aca="false">YEAR(E180)</f>
        <v>2012</v>
      </c>
      <c r="H180" s="4" t="str">
        <f aca="false">IF(E180&lt;DATE(2015,1,1),"2005–2014",IF(E180&lt;DATE(2022,3,5),"2015 – Mar 2022","Mar 2022 – Oct 2026"))</f>
        <v>2005–2014</v>
      </c>
      <c r="I180" s="24" t="n">
        <v>125.662</v>
      </c>
      <c r="J180" s="24" t="n">
        <v>125.257</v>
      </c>
      <c r="K180" s="24" t="n">
        <v>128.14</v>
      </c>
      <c r="L180" s="25" t="n">
        <v>6.125</v>
      </c>
      <c r="M180" s="26" t="n">
        <v>40.456</v>
      </c>
      <c r="N180" s="4" t="s">
        <v>35</v>
      </c>
      <c r="O180" s="27" t="n">
        <v>0.0556</v>
      </c>
      <c r="P180" s="28" t="n">
        <f aca="false">Summary!$C$6*O180</f>
        <v>0.000278</v>
      </c>
      <c r="Q180" s="29" t="n">
        <f aca="false">Q179*(1+P180)</f>
        <v>11046.804763756</v>
      </c>
      <c r="R180" s="29" t="n">
        <f aca="false">MAX(R179,Q180)</f>
        <v>11473.4252080496</v>
      </c>
      <c r="S180" s="30" t="n">
        <f aca="false">Q180/R180-1</f>
        <v>-0.0371833551496286</v>
      </c>
      <c r="T180" s="31" t="n">
        <f aca="false">DATE(YEAR(F180),MONTH(F180),1)</f>
        <v>40940</v>
      </c>
    </row>
    <row r="181" customFormat="false" ht="15" hidden="false" customHeight="true" outlineLevel="0" collapsed="false">
      <c r="A181" s="4" t="n">
        <v>180</v>
      </c>
      <c r="B181" s="4" t="s">
        <v>28</v>
      </c>
      <c r="C181" s="4" t="s">
        <v>53</v>
      </c>
      <c r="D181" s="23" t="n">
        <v>40982.9166666667</v>
      </c>
      <c r="E181" s="23" t="n">
        <v>40983.5729166667</v>
      </c>
      <c r="F181" s="23" t="n">
        <v>40984.4791666667</v>
      </c>
      <c r="G181" s="4" t="n">
        <f aca="false">YEAR(E181)</f>
        <v>2012</v>
      </c>
      <c r="H181" s="4" t="str">
        <f aca="false">IF(E181&lt;DATE(2015,1,1),"2005–2014",IF(E181&lt;DATE(2022,3,5),"2015 – Mar 2022","Mar 2022 – Oct 2026"))</f>
        <v>2005–2014</v>
      </c>
      <c r="I181" s="24" t="n">
        <v>130.249</v>
      </c>
      <c r="J181" s="24" t="n">
        <v>129.704</v>
      </c>
      <c r="K181" s="24" t="n">
        <v>132.011</v>
      </c>
      <c r="L181" s="25" t="n">
        <v>3.231</v>
      </c>
      <c r="M181" s="26" t="n">
        <v>54.548</v>
      </c>
      <c r="N181" s="4" t="s">
        <v>33</v>
      </c>
      <c r="O181" s="27" t="n">
        <v>3.2306</v>
      </c>
      <c r="P181" s="28" t="n">
        <f aca="false">Summary!$C$6*O181</f>
        <v>0.016153</v>
      </c>
      <c r="Q181" s="29" t="n">
        <f aca="false">Q180*(1+P181)</f>
        <v>11225.2438011049</v>
      </c>
      <c r="R181" s="29" t="n">
        <f aca="false">MAX(R180,Q181)</f>
        <v>11473.4252080496</v>
      </c>
      <c r="S181" s="30" t="n">
        <f aca="false">Q181/R181-1</f>
        <v>-0.0216309778853604</v>
      </c>
      <c r="T181" s="31" t="n">
        <f aca="false">DATE(YEAR(F181),MONTH(F181),1)</f>
        <v>40969</v>
      </c>
    </row>
    <row r="182" customFormat="false" ht="15" hidden="false" customHeight="true" outlineLevel="0" collapsed="false">
      <c r="A182" s="4" t="n">
        <v>181</v>
      </c>
      <c r="B182" s="4" t="s">
        <v>28</v>
      </c>
      <c r="C182" s="4" t="s">
        <v>54</v>
      </c>
      <c r="D182" s="23" t="n">
        <v>40990.9166666667</v>
      </c>
      <c r="E182" s="23" t="n">
        <v>40994.46875</v>
      </c>
      <c r="F182" s="23" t="n">
        <v>40994.9791666667</v>
      </c>
      <c r="G182" s="4" t="n">
        <f aca="false">YEAR(E182)</f>
        <v>2012</v>
      </c>
      <c r="H182" s="4" t="str">
        <f aca="false">IF(E182&lt;DATE(2015,1,1),"2005–2014",IF(E182&lt;DATE(2022,3,5),"2015 – Mar 2022","Mar 2022 – Oct 2026"))</f>
        <v>2005–2014</v>
      </c>
      <c r="I182" s="24" t="n">
        <v>131.876</v>
      </c>
      <c r="J182" s="24" t="n">
        <v>132.442</v>
      </c>
      <c r="K182" s="24" t="n">
        <v>129.629</v>
      </c>
      <c r="L182" s="25" t="n">
        <v>3.969</v>
      </c>
      <c r="M182" s="26" t="n">
        <v>56.617</v>
      </c>
      <c r="N182" s="4" t="s">
        <v>34</v>
      </c>
      <c r="O182" s="27" t="n">
        <v>-1.0132</v>
      </c>
      <c r="P182" s="28" t="n">
        <f aca="false">Summary!$C$6*O182</f>
        <v>-0.005066</v>
      </c>
      <c r="Q182" s="29" t="n">
        <f aca="false">Q181*(1+P182)</f>
        <v>11168.3767160085</v>
      </c>
      <c r="R182" s="29" t="n">
        <f aca="false">MAX(R181,Q182)</f>
        <v>11473.4252080496</v>
      </c>
      <c r="S182" s="30" t="n">
        <f aca="false">Q182/R182-1</f>
        <v>-0.0265873953513931</v>
      </c>
      <c r="T182" s="31" t="n">
        <f aca="false">DATE(YEAR(F182),MONTH(F182),1)</f>
        <v>40969</v>
      </c>
    </row>
    <row r="183" customFormat="false" ht="15" hidden="false" customHeight="true" outlineLevel="0" collapsed="false">
      <c r="A183" s="4" t="n">
        <v>182</v>
      </c>
      <c r="B183" s="4" t="s">
        <v>27</v>
      </c>
      <c r="C183" s="4" t="s">
        <v>53</v>
      </c>
      <c r="D183" s="23" t="n">
        <v>40997.9166666667</v>
      </c>
      <c r="E183" s="23" t="n">
        <v>40998.3333333333</v>
      </c>
      <c r="F183" s="23" t="n">
        <v>41001.625</v>
      </c>
      <c r="G183" s="4" t="n">
        <f aca="false">YEAR(E183)</f>
        <v>2012</v>
      </c>
      <c r="H183" s="4" t="str">
        <f aca="false">IF(E183&lt;DATE(2015,1,1),"2005–2014",IF(E183&lt;DATE(2022,3,5),"2015 – Mar 2022","Mar 2022 – Oct 2026"))</f>
        <v>2005–2014</v>
      </c>
      <c r="I183" s="24" t="n">
        <v>131.224</v>
      </c>
      <c r="J183" s="24" t="n">
        <v>130.629</v>
      </c>
      <c r="K183" s="24" t="n">
        <v>133.437</v>
      </c>
      <c r="L183" s="25" t="n">
        <v>3.723</v>
      </c>
      <c r="M183" s="26" t="n">
        <v>59.457</v>
      </c>
      <c r="N183" s="4" t="s">
        <v>35</v>
      </c>
      <c r="O183" s="27" t="n">
        <v>0.0378</v>
      </c>
      <c r="P183" s="28" t="n">
        <f aca="false">Summary!$C$6*O183</f>
        <v>0.000189</v>
      </c>
      <c r="Q183" s="29" t="n">
        <f aca="false">Q182*(1+P183)</f>
        <v>11170.4875392079</v>
      </c>
      <c r="R183" s="29" t="n">
        <f aca="false">MAX(R182,Q183)</f>
        <v>11473.4252080496</v>
      </c>
      <c r="S183" s="30" t="n">
        <f aca="false">Q183/R183-1</f>
        <v>-0.0264034203691146</v>
      </c>
      <c r="T183" s="31" t="n">
        <f aca="false">DATE(YEAR(F183),MONTH(F183),1)</f>
        <v>41000</v>
      </c>
    </row>
    <row r="184" customFormat="false" ht="15" hidden="false" customHeight="true" outlineLevel="0" collapsed="false">
      <c r="A184" s="4" t="n">
        <v>183</v>
      </c>
      <c r="B184" s="4" t="s">
        <v>28</v>
      </c>
      <c r="C184" s="4" t="s">
        <v>53</v>
      </c>
      <c r="D184" s="23" t="n">
        <v>41011.9166666667</v>
      </c>
      <c r="E184" s="23" t="n">
        <v>41012.625</v>
      </c>
      <c r="F184" s="23" t="n">
        <v>41015.2083333333</v>
      </c>
      <c r="G184" s="4" t="n">
        <f aca="false">YEAR(E184)</f>
        <v>2012</v>
      </c>
      <c r="H184" s="4" t="str">
        <f aca="false">IF(E184&lt;DATE(2015,1,1),"2005–2014",IF(E184&lt;DATE(2022,3,5),"2015 – Mar 2022","Mar 2022 – Oct 2026"))</f>
        <v>2005–2014</v>
      </c>
      <c r="I184" s="24" t="n">
        <v>128.318</v>
      </c>
      <c r="J184" s="24" t="n">
        <v>127.706</v>
      </c>
      <c r="K184" s="24" t="n">
        <v>130.181</v>
      </c>
      <c r="L184" s="25" t="n">
        <v>3.042</v>
      </c>
      <c r="M184" s="26" t="n">
        <v>61.246</v>
      </c>
      <c r="N184" s="4" t="s">
        <v>34</v>
      </c>
      <c r="O184" s="27" t="n">
        <v>-1.0122</v>
      </c>
      <c r="P184" s="28" t="n">
        <f aca="false">Summary!$C$6*O184</f>
        <v>-0.005061</v>
      </c>
      <c r="Q184" s="29" t="n">
        <f aca="false">Q183*(1+P184)</f>
        <v>11113.9537017719</v>
      </c>
      <c r="R184" s="29" t="n">
        <f aca="false">MAX(R183,Q184)</f>
        <v>11473.4252080496</v>
      </c>
      <c r="S184" s="30" t="n">
        <f aca="false">Q184/R184-1</f>
        <v>-0.0313307926586264</v>
      </c>
      <c r="T184" s="31" t="n">
        <f aca="false">DATE(YEAR(F184),MONTH(F184),1)</f>
        <v>41000</v>
      </c>
    </row>
    <row r="185" customFormat="false" ht="15" hidden="false" customHeight="true" outlineLevel="0" collapsed="false">
      <c r="A185" s="4" t="n">
        <v>184</v>
      </c>
      <c r="B185" s="4" t="s">
        <v>28</v>
      </c>
      <c r="C185" s="4" t="s">
        <v>54</v>
      </c>
      <c r="D185" s="23" t="n">
        <v>41015.9166666667</v>
      </c>
      <c r="E185" s="23" t="n">
        <v>41016.34375</v>
      </c>
      <c r="F185" s="23" t="n">
        <v>41016.8020833333</v>
      </c>
      <c r="G185" s="4" t="n">
        <f aca="false">YEAR(E185)</f>
        <v>2012</v>
      </c>
      <c r="H185" s="4" t="str">
        <f aca="false">IF(E185&lt;DATE(2015,1,1),"2005–2014",IF(E185&lt;DATE(2022,3,5),"2015 – Mar 2022","Mar 2022 – Oct 2026"))</f>
        <v>2005–2014</v>
      </c>
      <c r="I185" s="24" t="n">
        <v>128.345</v>
      </c>
      <c r="J185" s="24" t="n">
        <v>128.95</v>
      </c>
      <c r="K185" s="24" t="n">
        <v>126.229</v>
      </c>
      <c r="L185" s="25" t="n">
        <v>3.501</v>
      </c>
      <c r="M185" s="26" t="n">
        <v>60.45</v>
      </c>
      <c r="N185" s="4" t="s">
        <v>34</v>
      </c>
      <c r="O185" s="27" t="n">
        <v>-1.0124</v>
      </c>
      <c r="P185" s="28" t="n">
        <f aca="false">Summary!$C$6*O185</f>
        <v>-0.005062</v>
      </c>
      <c r="Q185" s="29" t="n">
        <f aca="false">Q184*(1+P185)</f>
        <v>11057.6948681336</v>
      </c>
      <c r="R185" s="29" t="n">
        <f aca="false">MAX(R184,Q185)</f>
        <v>11473.4252080496</v>
      </c>
      <c r="S185" s="30" t="n">
        <f aca="false">Q185/R185-1</f>
        <v>-0.0362341961861884</v>
      </c>
      <c r="T185" s="31" t="n">
        <f aca="false">DATE(YEAR(F185),MONTH(F185),1)</f>
        <v>41000</v>
      </c>
    </row>
    <row r="186" customFormat="false" ht="15" hidden="false" customHeight="true" outlineLevel="0" collapsed="false">
      <c r="A186" s="4" t="n">
        <v>185</v>
      </c>
      <c r="B186" s="4" t="s">
        <v>27</v>
      </c>
      <c r="C186" s="4" t="s">
        <v>53</v>
      </c>
      <c r="D186" s="23" t="n">
        <v>41024.9166666667</v>
      </c>
      <c r="E186" s="23" t="n">
        <v>41025.2604166667</v>
      </c>
      <c r="F186" s="23" t="n">
        <v>41025.4375</v>
      </c>
      <c r="G186" s="4" t="n">
        <f aca="false">YEAR(E186)</f>
        <v>2012</v>
      </c>
      <c r="H186" s="4" t="str">
        <f aca="false">IF(E186&lt;DATE(2015,1,1),"2005–2014",IF(E186&lt;DATE(2022,3,5),"2015 – Mar 2022","Mar 2022 – Oct 2026"))</f>
        <v>2005–2014</v>
      </c>
      <c r="I186" s="24" t="n">
        <v>131.307</v>
      </c>
      <c r="J186" s="24" t="n">
        <v>130.738</v>
      </c>
      <c r="K186" s="24" t="n">
        <v>133.441</v>
      </c>
      <c r="L186" s="25" t="n">
        <v>3.747</v>
      </c>
      <c r="M186" s="26" t="n">
        <v>56.934</v>
      </c>
      <c r="N186" s="4" t="s">
        <v>34</v>
      </c>
      <c r="O186" s="27" t="n">
        <v>-1.0132</v>
      </c>
      <c r="P186" s="28" t="n">
        <f aca="false">Summary!$C$6*O186</f>
        <v>-0.005066</v>
      </c>
      <c r="Q186" s="29" t="n">
        <f aca="false">Q185*(1+P186)</f>
        <v>11001.6765859316</v>
      </c>
      <c r="R186" s="29" t="n">
        <f aca="false">MAX(R185,Q186)</f>
        <v>11473.4252080496</v>
      </c>
      <c r="S186" s="30" t="n">
        <f aca="false">Q186/R186-1</f>
        <v>-0.0411166337483092</v>
      </c>
      <c r="T186" s="31" t="n">
        <f aca="false">DATE(YEAR(F186),MONTH(F186),1)</f>
        <v>41000</v>
      </c>
    </row>
    <row r="187" customFormat="false" ht="15" hidden="false" customHeight="true" outlineLevel="0" collapsed="false">
      <c r="A187" s="4" t="n">
        <v>186</v>
      </c>
      <c r="B187" s="4" t="s">
        <v>27</v>
      </c>
      <c r="C187" s="4" t="s">
        <v>53</v>
      </c>
      <c r="D187" s="23" t="n">
        <v>41025.9166666667</v>
      </c>
      <c r="E187" s="23" t="n">
        <v>41026.1770833333</v>
      </c>
      <c r="F187" s="23" t="n">
        <v>41026.2083333333</v>
      </c>
      <c r="G187" s="4" t="n">
        <f aca="false">YEAR(E187)</f>
        <v>2012</v>
      </c>
      <c r="H187" s="4" t="str">
        <f aca="false">IF(E187&lt;DATE(2015,1,1),"2005–2014",IF(E187&lt;DATE(2022,3,5),"2015 – Mar 2022","Mar 2022 – Oct 2026"))</f>
        <v>2005–2014</v>
      </c>
      <c r="I187" s="24" t="n">
        <v>131.396</v>
      </c>
      <c r="J187" s="24" t="n">
        <v>130.835</v>
      </c>
      <c r="K187" s="24" t="n">
        <v>133.442</v>
      </c>
      <c r="L187" s="25" t="n">
        <v>3.649</v>
      </c>
      <c r="M187" s="26" t="n">
        <v>56.065</v>
      </c>
      <c r="N187" s="4" t="s">
        <v>34</v>
      </c>
      <c r="O187" s="27" t="n">
        <v>-1.0134</v>
      </c>
      <c r="P187" s="28" t="n">
        <f aca="false">Summary!$C$6*O187</f>
        <v>-0.005067</v>
      </c>
      <c r="Q187" s="29" t="n">
        <f aca="false">Q186*(1+P187)</f>
        <v>10945.9310906707</v>
      </c>
      <c r="R187" s="29" t="n">
        <f aca="false">MAX(R186,Q187)</f>
        <v>11473.4252080496</v>
      </c>
      <c r="S187" s="30" t="n">
        <f aca="false">Q187/R187-1</f>
        <v>-0.0459752957651065</v>
      </c>
      <c r="T187" s="31" t="n">
        <f aca="false">DATE(YEAR(F187),MONTH(F187),1)</f>
        <v>41000</v>
      </c>
    </row>
    <row r="188" customFormat="false" ht="15" hidden="false" customHeight="true" outlineLevel="0" collapsed="false">
      <c r="A188" s="4" t="n">
        <v>187</v>
      </c>
      <c r="B188" s="4" t="s">
        <v>28</v>
      </c>
      <c r="C188" s="4" t="s">
        <v>54</v>
      </c>
      <c r="D188" s="23" t="n">
        <v>41029.9166666667</v>
      </c>
      <c r="E188" s="23" t="n">
        <v>41031.2708333333</v>
      </c>
      <c r="F188" s="23" t="n">
        <v>41035.78125</v>
      </c>
      <c r="G188" s="4" t="n">
        <f aca="false">YEAR(E188)</f>
        <v>2012</v>
      </c>
      <c r="H188" s="4" t="str">
        <f aca="false">IF(E188&lt;DATE(2015,1,1),"2005–2014",IF(E188&lt;DATE(2022,3,5),"2015 – Mar 2022","Mar 2022 – Oct 2026"))</f>
        <v>2005–2014</v>
      </c>
      <c r="I188" s="24" t="n">
        <v>130.565</v>
      </c>
      <c r="J188" s="24" t="n">
        <v>131.097</v>
      </c>
      <c r="K188" s="24" t="n">
        <v>128.817</v>
      </c>
      <c r="L188" s="25" t="n">
        <v>3.287</v>
      </c>
      <c r="M188" s="26" t="n">
        <v>53.186</v>
      </c>
      <c r="N188" s="4" t="s">
        <v>33</v>
      </c>
      <c r="O188" s="27" t="n">
        <v>3.2871</v>
      </c>
      <c r="P188" s="28" t="n">
        <f aca="false">Summary!$C$6*O188</f>
        <v>0.0164355</v>
      </c>
      <c r="Q188" s="29" t="n">
        <f aca="false">Q187*(1+P188)</f>
        <v>11125.8329411114</v>
      </c>
      <c r="R188" s="29" t="n">
        <f aca="false">MAX(R187,Q188)</f>
        <v>11473.4252080496</v>
      </c>
      <c r="S188" s="30" t="n">
        <f aca="false">Q188/R188-1</f>
        <v>-0.0302954227386539</v>
      </c>
      <c r="T188" s="31" t="n">
        <f aca="false">DATE(YEAR(F188),MONTH(F188),1)</f>
        <v>41030</v>
      </c>
    </row>
    <row r="189" customFormat="false" ht="15" hidden="false" customHeight="true" outlineLevel="0" collapsed="false">
      <c r="A189" s="4" t="n">
        <v>188</v>
      </c>
      <c r="B189" s="4" t="s">
        <v>27</v>
      </c>
      <c r="C189" s="4" t="s">
        <v>53</v>
      </c>
      <c r="D189" s="23" t="n">
        <v>41038.9166666667</v>
      </c>
      <c r="E189" s="23" t="n">
        <v>41039.1145833333</v>
      </c>
      <c r="F189" s="23" t="n">
        <v>41039.3854166667</v>
      </c>
      <c r="G189" s="4" t="n">
        <f aca="false">YEAR(E189)</f>
        <v>2012</v>
      </c>
      <c r="H189" s="4" t="str">
        <f aca="false">IF(E189&lt;DATE(2015,1,1),"2005–2014",IF(E189&lt;DATE(2022,3,5),"2015 – Mar 2022","Mar 2022 – Oct 2026"))</f>
        <v>2005–2014</v>
      </c>
      <c r="I189" s="24" t="n">
        <v>128.68</v>
      </c>
      <c r="J189" s="24" t="n">
        <v>128.183</v>
      </c>
      <c r="K189" s="24" t="n">
        <v>130.195</v>
      </c>
      <c r="L189" s="25" t="n">
        <v>3.048</v>
      </c>
      <c r="M189" s="26" t="n">
        <v>49.714</v>
      </c>
      <c r="N189" s="4" t="s">
        <v>34</v>
      </c>
      <c r="O189" s="27" t="n">
        <v>-1.0151</v>
      </c>
      <c r="P189" s="28" t="n">
        <f aca="false">Summary!$C$6*O189</f>
        <v>-0.0050755</v>
      </c>
      <c r="Q189" s="29" t="n">
        <f aca="false">Q188*(1+P189)</f>
        <v>11069.3637760188</v>
      </c>
      <c r="R189" s="29" t="n">
        <f aca="false">MAX(R188,Q189)</f>
        <v>11473.4252080496</v>
      </c>
      <c r="S189" s="30" t="n">
        <f aca="false">Q189/R189-1</f>
        <v>-0.0352171583205438</v>
      </c>
      <c r="T189" s="31" t="n">
        <f aca="false">DATE(YEAR(F189),MONTH(F189),1)</f>
        <v>41030</v>
      </c>
    </row>
    <row r="190" customFormat="false" ht="15" hidden="false" customHeight="true" outlineLevel="0" collapsed="false">
      <c r="A190" s="4" t="n">
        <v>189</v>
      </c>
      <c r="B190" s="4" t="s">
        <v>28</v>
      </c>
      <c r="C190" s="4" t="s">
        <v>53</v>
      </c>
      <c r="D190" s="23" t="n">
        <v>41039.9166666667</v>
      </c>
      <c r="E190" s="23" t="n">
        <v>41043.4583333333</v>
      </c>
      <c r="F190" s="23" t="n">
        <v>41045.40625</v>
      </c>
      <c r="G190" s="4" t="n">
        <f aca="false">YEAR(E190)</f>
        <v>2012</v>
      </c>
      <c r="H190" s="4" t="str">
        <f aca="false">IF(E190&lt;DATE(2015,1,1),"2005–2014",IF(E190&lt;DATE(2022,3,5),"2015 – Mar 2022","Mar 2022 – Oct 2026"))</f>
        <v>2005–2014</v>
      </c>
      <c r="I190" s="24" t="n">
        <v>128.188</v>
      </c>
      <c r="J190" s="24" t="n">
        <v>127.689</v>
      </c>
      <c r="K190" s="24" t="n">
        <v>130.195</v>
      </c>
      <c r="L190" s="25" t="n">
        <v>4.021</v>
      </c>
      <c r="M190" s="26" t="n">
        <v>49.912</v>
      </c>
      <c r="N190" s="4" t="s">
        <v>34</v>
      </c>
      <c r="O190" s="27" t="n">
        <v>-1.015</v>
      </c>
      <c r="P190" s="28" t="n">
        <f aca="false">Summary!$C$6*O190</f>
        <v>-0.005075</v>
      </c>
      <c r="Q190" s="29" t="n">
        <f aca="false">Q189*(1+P190)</f>
        <v>11013.1867548555</v>
      </c>
      <c r="R190" s="29" t="n">
        <f aca="false">MAX(R189,Q190)</f>
        <v>11473.4252080496</v>
      </c>
      <c r="S190" s="30" t="n">
        <f aca="false">Q190/R190-1</f>
        <v>-0.0401134312420671</v>
      </c>
      <c r="T190" s="31" t="n">
        <f aca="false">DATE(YEAR(F190),MONTH(F190),1)</f>
        <v>41030</v>
      </c>
    </row>
    <row r="191" customFormat="false" ht="15" hidden="false" customHeight="true" outlineLevel="0" collapsed="false">
      <c r="A191" s="4" t="n">
        <v>190</v>
      </c>
      <c r="B191" s="4" t="s">
        <v>28</v>
      </c>
      <c r="C191" s="4" t="s">
        <v>53</v>
      </c>
      <c r="D191" s="23" t="n">
        <v>41072.9166666667</v>
      </c>
      <c r="E191" s="23" t="n">
        <v>41075.2395833333</v>
      </c>
      <c r="F191" s="23" t="n">
        <v>41081.3854166667</v>
      </c>
      <c r="G191" s="4" t="n">
        <f aca="false">YEAR(E191)</f>
        <v>2012</v>
      </c>
      <c r="H191" s="4" t="str">
        <f aca="false">IF(E191&lt;DATE(2015,1,1),"2005–2014",IF(E191&lt;DATE(2022,3,5),"2015 – Mar 2022","Mar 2022 – Oct 2026"))</f>
        <v>2005–2014</v>
      </c>
      <c r="I191" s="24" t="n">
        <v>122.555</v>
      </c>
      <c r="J191" s="24" t="n">
        <v>121.965</v>
      </c>
      <c r="K191" s="24" t="n">
        <v>125.566</v>
      </c>
      <c r="L191" s="25" t="n">
        <v>5.103</v>
      </c>
      <c r="M191" s="26" t="n">
        <v>59.01</v>
      </c>
      <c r="N191" s="4" t="s">
        <v>33</v>
      </c>
      <c r="O191" s="27" t="n">
        <v>5.1031</v>
      </c>
      <c r="P191" s="28" t="n">
        <f aca="false">Summary!$C$6*O191</f>
        <v>0.0255155</v>
      </c>
      <c r="Q191" s="29" t="n">
        <f aca="false">Q190*(1+P191)</f>
        <v>11294.193721499</v>
      </c>
      <c r="R191" s="29" t="n">
        <f aca="false">MAX(R190,Q191)</f>
        <v>11473.4252080496</v>
      </c>
      <c r="S191" s="30" t="n">
        <f aca="false">Q191/R191-1</f>
        <v>-0.0156214454969241</v>
      </c>
      <c r="T191" s="31" t="n">
        <f aca="false">DATE(YEAR(F191),MONTH(F191),1)</f>
        <v>41061</v>
      </c>
    </row>
    <row r="192" customFormat="false" ht="15" hidden="false" customHeight="true" outlineLevel="0" collapsed="false">
      <c r="A192" s="4" t="n">
        <v>191</v>
      </c>
      <c r="B192" s="4" t="s">
        <v>27</v>
      </c>
      <c r="C192" s="4" t="s">
        <v>54</v>
      </c>
      <c r="D192" s="23" t="n">
        <v>41081.9166666667</v>
      </c>
      <c r="E192" s="23" t="n">
        <v>41082.4270833333</v>
      </c>
      <c r="F192" s="23" t="n">
        <v>41089.03125</v>
      </c>
      <c r="G192" s="4" t="n">
        <f aca="false">YEAR(E192)</f>
        <v>2012</v>
      </c>
      <c r="H192" s="4" t="str">
        <f aca="false">IF(E192&lt;DATE(2015,1,1),"2005–2014",IF(E192&lt;DATE(2022,3,5),"2015 – Mar 2022","Mar 2022 – Oct 2026"))</f>
        <v>2005–2014</v>
      </c>
      <c r="I192" s="24" t="n">
        <v>125.287</v>
      </c>
      <c r="J192" s="24" t="n">
        <v>125.863</v>
      </c>
      <c r="K192" s="24" t="n">
        <v>122.92</v>
      </c>
      <c r="L192" s="25" t="n">
        <v>4.111</v>
      </c>
      <c r="M192" s="26" t="n">
        <v>57.567</v>
      </c>
      <c r="N192" s="4" t="s">
        <v>33</v>
      </c>
      <c r="O192" s="27" t="n">
        <v>4.1114</v>
      </c>
      <c r="P192" s="28" t="n">
        <f aca="false">Summary!$C$6*O192</f>
        <v>0.020557</v>
      </c>
      <c r="Q192" s="29" t="n">
        <f aca="false">Q191*(1+P192)</f>
        <v>11526.3684618319</v>
      </c>
      <c r="R192" s="29" t="n">
        <f aca="false">MAX(R191,Q192)</f>
        <v>11526.3684618319</v>
      </c>
      <c r="S192" s="30" t="n">
        <f aca="false">Q192/R192-1</f>
        <v>0</v>
      </c>
      <c r="T192" s="31" t="n">
        <f aca="false">DATE(YEAR(F192),MONTH(F192),1)</f>
        <v>41061</v>
      </c>
    </row>
    <row r="193" customFormat="false" ht="15" hidden="false" customHeight="true" outlineLevel="0" collapsed="false">
      <c r="A193" s="4" t="n">
        <v>192</v>
      </c>
      <c r="B193" s="4" t="s">
        <v>28</v>
      </c>
      <c r="C193" s="4" t="s">
        <v>53</v>
      </c>
      <c r="D193" s="23" t="n">
        <v>41124.9166666667</v>
      </c>
      <c r="E193" s="23" t="n">
        <v>41127.3333333333</v>
      </c>
      <c r="F193" s="23" t="n">
        <v>41129.3229166667</v>
      </c>
      <c r="G193" s="4" t="n">
        <f aca="false">YEAR(E193)</f>
        <v>2012</v>
      </c>
      <c r="H193" s="4" t="str">
        <f aca="false">IF(E193&lt;DATE(2015,1,1),"2005–2014",IF(E193&lt;DATE(2022,3,5),"2015 – Mar 2022","Mar 2022 – Oct 2026"))</f>
        <v>2005–2014</v>
      </c>
      <c r="I193" s="24" t="n">
        <v>122.053</v>
      </c>
      <c r="J193" s="24" t="n">
        <v>121.558</v>
      </c>
      <c r="K193" s="24" t="n">
        <v>123.683</v>
      </c>
      <c r="L193" s="25" t="n">
        <v>3.292</v>
      </c>
      <c r="M193" s="26" t="n">
        <v>49.497</v>
      </c>
      <c r="N193" s="4" t="s">
        <v>35</v>
      </c>
      <c r="O193" s="27" t="n">
        <v>0.0455</v>
      </c>
      <c r="P193" s="28" t="n">
        <f aca="false">Summary!$C$6*O193</f>
        <v>0.0002275</v>
      </c>
      <c r="Q193" s="29" t="n">
        <f aca="false">Q192*(1+P193)</f>
        <v>11528.9907106569</v>
      </c>
      <c r="R193" s="29" t="n">
        <f aca="false">MAX(R192,Q193)</f>
        <v>11528.9907106569</v>
      </c>
      <c r="S193" s="30" t="n">
        <f aca="false">Q193/R193-1</f>
        <v>0</v>
      </c>
      <c r="T193" s="31" t="n">
        <f aca="false">DATE(YEAR(F193),MONTH(F193),1)</f>
        <v>41122</v>
      </c>
    </row>
    <row r="194" customFormat="false" ht="15" hidden="false" customHeight="true" outlineLevel="0" collapsed="false">
      <c r="A194" s="4" t="n">
        <v>193</v>
      </c>
      <c r="B194" s="4" t="s">
        <v>27</v>
      </c>
      <c r="C194" s="4" t="s">
        <v>53</v>
      </c>
      <c r="D194" s="23" t="n">
        <v>41130.9166666667</v>
      </c>
      <c r="E194" s="23" t="n">
        <v>41134.3645833333</v>
      </c>
      <c r="F194" s="23" t="n">
        <v>41137.1979166667</v>
      </c>
      <c r="G194" s="4" t="n">
        <f aca="false">YEAR(E194)</f>
        <v>2012</v>
      </c>
      <c r="H194" s="4" t="str">
        <f aca="false">IF(E194&lt;DATE(2015,1,1),"2005–2014",IF(E194&lt;DATE(2022,3,5),"2015 – Mar 2022","Mar 2022 – Oct 2026"))</f>
        <v>2005–2014</v>
      </c>
      <c r="I194" s="24" t="n">
        <v>122.456</v>
      </c>
      <c r="J194" s="24" t="n">
        <v>121.965</v>
      </c>
      <c r="K194" s="24" t="n">
        <v>124.251</v>
      </c>
      <c r="L194" s="25" t="n">
        <v>3.654</v>
      </c>
      <c r="M194" s="26" t="n">
        <v>49.129</v>
      </c>
      <c r="N194" s="4" t="s">
        <v>33</v>
      </c>
      <c r="O194" s="27" t="n">
        <v>3.6539</v>
      </c>
      <c r="P194" s="28" t="n">
        <f aca="false">Summary!$C$6*O194</f>
        <v>0.0182695</v>
      </c>
      <c r="Q194" s="29" t="n">
        <f aca="false">Q193*(1+P194)</f>
        <v>11739.6196064453</v>
      </c>
      <c r="R194" s="29" t="n">
        <f aca="false">MAX(R193,Q194)</f>
        <v>11739.6196064453</v>
      </c>
      <c r="S194" s="30" t="n">
        <f aca="false">Q194/R194-1</f>
        <v>0</v>
      </c>
      <c r="T194" s="31" t="n">
        <f aca="false">DATE(YEAR(F194),MONTH(F194),1)</f>
        <v>41122</v>
      </c>
    </row>
    <row r="195" customFormat="false" ht="15" hidden="false" customHeight="true" outlineLevel="0" collapsed="false">
      <c r="A195" s="4" t="n">
        <v>194</v>
      </c>
      <c r="B195" s="4" t="s">
        <v>28</v>
      </c>
      <c r="C195" s="4" t="s">
        <v>53</v>
      </c>
      <c r="D195" s="23" t="n">
        <v>41158.9166666667</v>
      </c>
      <c r="E195" s="23" t="n">
        <v>41159.5208333333</v>
      </c>
      <c r="F195" s="23" t="n">
        <v>41159.53125</v>
      </c>
      <c r="G195" s="4" t="n">
        <f aca="false">YEAR(E195)</f>
        <v>2012</v>
      </c>
      <c r="H195" s="4" t="str">
        <f aca="false">IF(E195&lt;DATE(2015,1,1),"2005–2014",IF(E195&lt;DATE(2022,3,5),"2015 – Mar 2022","Mar 2022 – Oct 2026"))</f>
        <v>2005–2014</v>
      </c>
      <c r="I195" s="24" t="n">
        <v>125.427</v>
      </c>
      <c r="J195" s="24" t="n">
        <v>125.06</v>
      </c>
      <c r="K195" s="24" t="n">
        <v>127.086</v>
      </c>
      <c r="L195" s="25" t="n">
        <v>4.518</v>
      </c>
      <c r="M195" s="26" t="n">
        <v>36.719</v>
      </c>
      <c r="N195" s="4" t="s">
        <v>34</v>
      </c>
      <c r="O195" s="27" t="n">
        <v>-1.0204</v>
      </c>
      <c r="P195" s="28" t="n">
        <f aca="false">Summary!$C$6*O195</f>
        <v>-0.005102</v>
      </c>
      <c r="Q195" s="29" t="n">
        <f aca="false">Q194*(1+P195)</f>
        <v>11679.7240672132</v>
      </c>
      <c r="R195" s="29" t="n">
        <f aca="false">MAX(R194,Q195)</f>
        <v>11739.6196064453</v>
      </c>
      <c r="S195" s="30" t="n">
        <f aca="false">Q195/R195-1</f>
        <v>-0.00510200000000005</v>
      </c>
      <c r="T195" s="31" t="n">
        <f aca="false">DATE(YEAR(F195),MONTH(F195),1)</f>
        <v>41153</v>
      </c>
    </row>
    <row r="196" customFormat="false" ht="15" hidden="false" customHeight="true" outlineLevel="0" collapsed="false">
      <c r="A196" s="4" t="n">
        <v>195</v>
      </c>
      <c r="B196" s="4" t="s">
        <v>28</v>
      </c>
      <c r="C196" s="4" t="s">
        <v>54</v>
      </c>
      <c r="D196" s="23" t="n">
        <v>41159.9166666667</v>
      </c>
      <c r="E196" s="23" t="n">
        <v>41166.15625</v>
      </c>
      <c r="F196" s="23" t="n">
        <v>41166.375</v>
      </c>
      <c r="G196" s="4" t="n">
        <f aca="false">YEAR(E196)</f>
        <v>2012</v>
      </c>
      <c r="H196" s="4" t="str">
        <f aca="false">IF(E196&lt;DATE(2015,1,1),"2005–2014",IF(E196&lt;DATE(2022,3,5),"2015 – Mar 2022","Mar 2022 – Oct 2026"))</f>
        <v>2005–2014</v>
      </c>
      <c r="I196" s="24" t="n">
        <v>125.639</v>
      </c>
      <c r="J196" s="24" t="n">
        <v>126.014</v>
      </c>
      <c r="K196" s="24" t="n">
        <v>124.357</v>
      </c>
      <c r="L196" s="25" t="n">
        <v>3.421</v>
      </c>
      <c r="M196" s="26" t="n">
        <v>37.491</v>
      </c>
      <c r="N196" s="4" t="s">
        <v>34</v>
      </c>
      <c r="O196" s="27" t="n">
        <v>-1.02</v>
      </c>
      <c r="P196" s="28" t="n">
        <f aca="false">Summary!$C$6*O196</f>
        <v>-0.0051</v>
      </c>
      <c r="Q196" s="29" t="n">
        <f aca="false">Q195*(1+P196)</f>
        <v>11620.1574744704</v>
      </c>
      <c r="R196" s="29" t="n">
        <f aca="false">MAX(R195,Q196)</f>
        <v>11739.6196064453</v>
      </c>
      <c r="S196" s="30" t="n">
        <f aca="false">Q196/R196-1</f>
        <v>-0.0101759798</v>
      </c>
      <c r="T196" s="31" t="n">
        <f aca="false">DATE(YEAR(F196),MONTH(F196),1)</f>
        <v>41153</v>
      </c>
    </row>
    <row r="197" customFormat="false" ht="15" hidden="false" customHeight="true" outlineLevel="0" collapsed="false">
      <c r="A197" s="4" t="n">
        <v>196</v>
      </c>
      <c r="B197" s="4" t="s">
        <v>27</v>
      </c>
      <c r="C197" s="4" t="s">
        <v>53</v>
      </c>
      <c r="D197" s="23" t="n">
        <v>41178.9166666667</v>
      </c>
      <c r="E197" s="23" t="n">
        <v>41179.1145833333</v>
      </c>
      <c r="F197" s="23" t="n">
        <v>41180.8020833333</v>
      </c>
      <c r="G197" s="4" t="n">
        <f aca="false">YEAR(E197)</f>
        <v>2012</v>
      </c>
      <c r="H197" s="4" t="str">
        <f aca="false">IF(E197&lt;DATE(2015,1,1),"2005–2014",IF(E197&lt;DATE(2022,3,5),"2015 – Mar 2022","Mar 2022 – Oct 2026"))</f>
        <v>2005–2014</v>
      </c>
      <c r="I197" s="24" t="n">
        <v>125.724</v>
      </c>
      <c r="J197" s="24" t="n">
        <v>125.353</v>
      </c>
      <c r="K197" s="24" t="n">
        <v>127.086</v>
      </c>
      <c r="L197" s="25" t="n">
        <v>3.671</v>
      </c>
      <c r="M197" s="26" t="n">
        <v>37.095</v>
      </c>
      <c r="N197" s="4" t="s">
        <v>35</v>
      </c>
      <c r="O197" s="27" t="n">
        <v>0.0607</v>
      </c>
      <c r="P197" s="28" t="n">
        <f aca="false">Summary!$C$6*O197</f>
        <v>0.0003035</v>
      </c>
      <c r="Q197" s="29" t="n">
        <f aca="false">Q196*(1+P197)</f>
        <v>11623.6841922639</v>
      </c>
      <c r="R197" s="29" t="n">
        <f aca="false">MAX(R196,Q197)</f>
        <v>11739.6196064453</v>
      </c>
      <c r="S197" s="30" t="n">
        <f aca="false">Q197/R197-1</f>
        <v>-0.00987556820986923</v>
      </c>
      <c r="T197" s="31" t="n">
        <f aca="false">DATE(YEAR(F197),MONTH(F197),1)</f>
        <v>41153</v>
      </c>
    </row>
    <row r="198" customFormat="false" ht="15" hidden="false" customHeight="true" outlineLevel="0" collapsed="false">
      <c r="A198" s="4" t="n">
        <v>197</v>
      </c>
      <c r="B198" s="4" t="s">
        <v>27</v>
      </c>
      <c r="C198" s="4" t="s">
        <v>53</v>
      </c>
      <c r="D198" s="23" t="n">
        <v>41180.9166666667</v>
      </c>
      <c r="E198" s="23" t="n">
        <v>41183.2708333333</v>
      </c>
      <c r="F198" s="23" t="n">
        <v>41186.8020833333</v>
      </c>
      <c r="G198" s="4" t="n">
        <f aca="false">YEAR(E198)</f>
        <v>2012</v>
      </c>
      <c r="H198" s="4" t="str">
        <f aca="false">IF(E198&lt;DATE(2015,1,1),"2005–2014",IF(E198&lt;DATE(2022,3,5),"2015 – Mar 2022","Mar 2022 – Oct 2026"))</f>
        <v>2005–2014</v>
      </c>
      <c r="I198" s="24" t="n">
        <v>125.654</v>
      </c>
      <c r="J198" s="24" t="n">
        <v>125.298</v>
      </c>
      <c r="K198" s="24" t="n">
        <v>127.088</v>
      </c>
      <c r="L198" s="25" t="n">
        <v>4.022</v>
      </c>
      <c r="M198" s="26" t="n">
        <v>35.644</v>
      </c>
      <c r="N198" s="4" t="s">
        <v>33</v>
      </c>
      <c r="O198" s="27" t="n">
        <v>4.0218</v>
      </c>
      <c r="P198" s="28" t="n">
        <f aca="false">Summary!$C$6*O198</f>
        <v>0.020109</v>
      </c>
      <c r="Q198" s="29" t="n">
        <f aca="false">Q197*(1+P198)</f>
        <v>11857.4248576861</v>
      </c>
      <c r="R198" s="29" t="n">
        <f aca="false">MAX(R197,Q198)</f>
        <v>11857.4248576861</v>
      </c>
      <c r="S198" s="30" t="n">
        <f aca="false">Q198/R198-1</f>
        <v>0</v>
      </c>
      <c r="T198" s="31" t="n">
        <f aca="false">DATE(YEAR(F198),MONTH(F198),1)</f>
        <v>41183</v>
      </c>
    </row>
    <row r="199" customFormat="false" ht="15" hidden="false" customHeight="true" outlineLevel="0" collapsed="false">
      <c r="A199" s="4" t="n">
        <v>198</v>
      </c>
      <c r="B199" s="4" t="s">
        <v>28</v>
      </c>
      <c r="C199" s="4" t="s">
        <v>54</v>
      </c>
      <c r="D199" s="23" t="n">
        <v>41190.9166666667</v>
      </c>
      <c r="E199" s="23" t="n">
        <v>41191.1875</v>
      </c>
      <c r="F199" s="23" t="n">
        <v>41193.4479166667</v>
      </c>
      <c r="G199" s="4" t="n">
        <f aca="false">YEAR(E199)</f>
        <v>2012</v>
      </c>
      <c r="H199" s="4" t="str">
        <f aca="false">IF(E199&lt;DATE(2015,1,1),"2005–2014",IF(E199&lt;DATE(2022,3,5),"2015 – Mar 2022","Mar 2022 – Oct 2026"))</f>
        <v>2005–2014</v>
      </c>
      <c r="I199" s="24" t="n">
        <v>125.802</v>
      </c>
      <c r="J199" s="24" t="n">
        <v>126.186</v>
      </c>
      <c r="K199" s="24" t="n">
        <v>124.633</v>
      </c>
      <c r="L199" s="25" t="n">
        <v>3.05</v>
      </c>
      <c r="M199" s="26" t="n">
        <v>38.349</v>
      </c>
      <c r="N199" s="4" t="s">
        <v>35</v>
      </c>
      <c r="O199" s="27" t="n">
        <v>0.0587</v>
      </c>
      <c r="P199" s="28" t="n">
        <f aca="false">Summary!$C$6*O199</f>
        <v>0.0002935</v>
      </c>
      <c r="Q199" s="29" t="n">
        <f aca="false">Q198*(1+P199)</f>
        <v>11860.9050118819</v>
      </c>
      <c r="R199" s="29" t="n">
        <f aca="false">MAX(R198,Q199)</f>
        <v>11860.9050118819</v>
      </c>
      <c r="S199" s="30" t="n">
        <f aca="false">Q199/R199-1</f>
        <v>0</v>
      </c>
      <c r="T199" s="31" t="n">
        <f aca="false">DATE(YEAR(F199),MONTH(F199),1)</f>
        <v>41183</v>
      </c>
    </row>
    <row r="200" customFormat="false" ht="15" hidden="false" customHeight="true" outlineLevel="0" collapsed="false">
      <c r="A200" s="4" t="n">
        <v>199</v>
      </c>
      <c r="B200" s="4" t="s">
        <v>27</v>
      </c>
      <c r="C200" s="4" t="s">
        <v>54</v>
      </c>
      <c r="D200" s="23" t="n">
        <v>41200.9166666667</v>
      </c>
      <c r="E200" s="23" t="n">
        <v>41201.1458333333</v>
      </c>
      <c r="F200" s="23" t="n">
        <v>41204.1979166667</v>
      </c>
      <c r="G200" s="4" t="n">
        <f aca="false">YEAR(E200)</f>
        <v>2012</v>
      </c>
      <c r="H200" s="4" t="str">
        <f aca="false">IF(E200&lt;DATE(2015,1,1),"2005–2014",IF(E200&lt;DATE(2022,3,5),"2015 – Mar 2022","Mar 2022 – Oct 2026"))</f>
        <v>2005–2014</v>
      </c>
      <c r="I200" s="24" t="n">
        <v>127.398</v>
      </c>
      <c r="J200" s="24" t="n">
        <v>127.785</v>
      </c>
      <c r="K200" s="24" t="n">
        <v>126.129</v>
      </c>
      <c r="L200" s="25" t="n">
        <v>3.276</v>
      </c>
      <c r="M200" s="26" t="n">
        <v>38.728</v>
      </c>
      <c r="N200" s="4" t="s">
        <v>35</v>
      </c>
      <c r="O200" s="27" t="n">
        <v>0.0581</v>
      </c>
      <c r="P200" s="28" t="n">
        <f aca="false">Summary!$C$6*O200</f>
        <v>0.0002905</v>
      </c>
      <c r="Q200" s="29" t="n">
        <f aca="false">Q199*(1+P200)</f>
        <v>11864.3506047878</v>
      </c>
      <c r="R200" s="29" t="n">
        <f aca="false">MAX(R199,Q200)</f>
        <v>11864.3506047878</v>
      </c>
      <c r="S200" s="30" t="n">
        <f aca="false">Q200/R200-1</f>
        <v>0</v>
      </c>
      <c r="T200" s="31" t="n">
        <f aca="false">DATE(YEAR(F200),MONTH(F200),1)</f>
        <v>41183</v>
      </c>
    </row>
    <row r="201" customFormat="false" ht="15" hidden="false" customHeight="true" outlineLevel="0" collapsed="false">
      <c r="A201" s="4" t="n">
        <v>200</v>
      </c>
      <c r="B201" s="4" t="s">
        <v>28</v>
      </c>
      <c r="C201" s="4" t="s">
        <v>54</v>
      </c>
      <c r="D201" s="23" t="n">
        <v>41205.9166666667</v>
      </c>
      <c r="E201" s="23" t="n">
        <v>41206.5104166667</v>
      </c>
      <c r="F201" s="23" t="n">
        <v>41207.0833333333</v>
      </c>
      <c r="G201" s="4" t="n">
        <f aca="false">YEAR(E201)</f>
        <v>2012</v>
      </c>
      <c r="H201" s="4" t="str">
        <f aca="false">IF(E201&lt;DATE(2015,1,1),"2005–2014",IF(E201&lt;DATE(2022,3,5),"2015 – Mar 2022","Mar 2022 – Oct 2026"))</f>
        <v>2005–2014</v>
      </c>
      <c r="I201" s="24" t="n">
        <v>127.869</v>
      </c>
      <c r="J201" s="24" t="n">
        <v>128.274</v>
      </c>
      <c r="K201" s="24" t="n">
        <v>126.131</v>
      </c>
      <c r="L201" s="25" t="n">
        <v>4.289</v>
      </c>
      <c r="M201" s="26" t="n">
        <v>40.515</v>
      </c>
      <c r="N201" s="4" t="s">
        <v>34</v>
      </c>
      <c r="O201" s="27" t="n">
        <v>-1.0185</v>
      </c>
      <c r="P201" s="28" t="n">
        <f aca="false">Summary!$C$6*O201</f>
        <v>-0.0050925</v>
      </c>
      <c r="Q201" s="29" t="n">
        <f aca="false">Q200*(1+P201)</f>
        <v>11803.9313993329</v>
      </c>
      <c r="R201" s="29" t="n">
        <f aca="false">MAX(R200,Q201)</f>
        <v>11864.3506047878</v>
      </c>
      <c r="S201" s="30" t="n">
        <f aca="false">Q201/R201-1</f>
        <v>-0.00509250000000006</v>
      </c>
      <c r="T201" s="31" t="n">
        <f aca="false">DATE(YEAR(F201),MONTH(F201),1)</f>
        <v>41183</v>
      </c>
    </row>
    <row r="202" customFormat="false" ht="15" hidden="false" customHeight="true" outlineLevel="0" collapsed="false">
      <c r="A202" s="4" t="n">
        <v>201</v>
      </c>
      <c r="B202" s="4" t="s">
        <v>27</v>
      </c>
      <c r="C202" s="4" t="s">
        <v>53</v>
      </c>
      <c r="D202" s="23" t="n">
        <v>41219.9166666667</v>
      </c>
      <c r="E202" s="23" t="n">
        <v>41220.4895833333</v>
      </c>
      <c r="F202" s="23" t="n">
        <v>41220.5625</v>
      </c>
      <c r="G202" s="4" t="n">
        <f aca="false">YEAR(E202)</f>
        <v>2012</v>
      </c>
      <c r="H202" s="4" t="str">
        <f aca="false">IF(E202&lt;DATE(2015,1,1),"2005–2014",IF(E202&lt;DATE(2022,3,5),"2015 – Mar 2022","Mar 2022 – Oct 2026"))</f>
        <v>2005–2014</v>
      </c>
      <c r="I202" s="24" t="n">
        <v>128.15</v>
      </c>
      <c r="J202" s="24" t="n">
        <v>127.726</v>
      </c>
      <c r="K202" s="24" t="n">
        <v>129.482</v>
      </c>
      <c r="L202" s="25" t="n">
        <v>3.138</v>
      </c>
      <c r="M202" s="26" t="n">
        <v>42.449</v>
      </c>
      <c r="N202" s="4" t="s">
        <v>34</v>
      </c>
      <c r="O202" s="27" t="n">
        <v>-1.0177</v>
      </c>
      <c r="P202" s="28" t="n">
        <f aca="false">Summary!$C$6*O202</f>
        <v>-0.0050885</v>
      </c>
      <c r="Q202" s="29" t="n">
        <f aca="false">Q201*(1+P202)</f>
        <v>11743.8670944074</v>
      </c>
      <c r="R202" s="29" t="n">
        <f aca="false">MAX(R201,Q202)</f>
        <v>11864.3506047878</v>
      </c>
      <c r="S202" s="30" t="n">
        <f aca="false">Q202/R202-1</f>
        <v>-0.0101550868137501</v>
      </c>
      <c r="T202" s="31" t="n">
        <f aca="false">DATE(YEAR(F202),MONTH(F202),1)</f>
        <v>41214</v>
      </c>
    </row>
    <row r="203" customFormat="false" ht="15" hidden="false" customHeight="true" outlineLevel="0" collapsed="false">
      <c r="A203" s="4" t="n">
        <v>202</v>
      </c>
      <c r="B203" s="4" t="s">
        <v>27</v>
      </c>
      <c r="C203" s="4" t="s">
        <v>53</v>
      </c>
      <c r="D203" s="23" t="n">
        <v>41417.9166666667</v>
      </c>
      <c r="E203" s="23" t="n">
        <v>41418.375</v>
      </c>
      <c r="F203" s="23" t="n">
        <v>41418.5104166667</v>
      </c>
      <c r="G203" s="4" t="n">
        <f aca="false">YEAR(E203)</f>
        <v>2013</v>
      </c>
      <c r="H203" s="4" t="str">
        <f aca="false">IF(E203&lt;DATE(2015,1,1),"2005–2014",IF(E203&lt;DATE(2022,3,5),"2015 – Mar 2022","Mar 2022 – Oct 2026"))</f>
        <v>2005–2014</v>
      </c>
      <c r="I203" s="24" t="n">
        <v>153.697</v>
      </c>
      <c r="J203" s="24" t="n">
        <v>152.987</v>
      </c>
      <c r="K203" s="24" t="n">
        <v>156.207</v>
      </c>
      <c r="L203" s="25" t="n">
        <v>3.536</v>
      </c>
      <c r="M203" s="26" t="n">
        <v>70.992</v>
      </c>
      <c r="N203" s="4" t="s">
        <v>34</v>
      </c>
      <c r="O203" s="27" t="n">
        <v>-1.0106</v>
      </c>
      <c r="P203" s="28" t="n">
        <f aca="false">Summary!$C$6*O203</f>
        <v>-0.005053</v>
      </c>
      <c r="Q203" s="29" t="n">
        <f aca="false">Q202*(1+P203)</f>
        <v>11684.5253339794</v>
      </c>
      <c r="R203" s="29" t="n">
        <f aca="false">MAX(R202,Q203)</f>
        <v>11864.3506047878</v>
      </c>
      <c r="S203" s="30" t="n">
        <f aca="false">Q203/R203-1</f>
        <v>-0.0151567731600802</v>
      </c>
      <c r="T203" s="31" t="n">
        <f aca="false">DATE(YEAR(F203),MONTH(F203),1)</f>
        <v>41395</v>
      </c>
    </row>
    <row r="204" customFormat="false" ht="15" hidden="false" customHeight="true" outlineLevel="0" collapsed="false">
      <c r="A204" s="4" t="n">
        <v>203</v>
      </c>
      <c r="B204" s="4" t="s">
        <v>28</v>
      </c>
      <c r="C204" s="4" t="s">
        <v>54</v>
      </c>
      <c r="D204" s="23" t="n">
        <v>41421.9166666667</v>
      </c>
      <c r="E204" s="23" t="n">
        <v>41422.0104166667</v>
      </c>
      <c r="F204" s="23" t="n">
        <v>41422.1875</v>
      </c>
      <c r="G204" s="4" t="n">
        <f aca="false">YEAR(E204)</f>
        <v>2013</v>
      </c>
      <c r="H204" s="4" t="str">
        <f aca="false">IF(E204&lt;DATE(2015,1,1),"2005–2014",IF(E204&lt;DATE(2022,3,5),"2015 – Mar 2022","Mar 2022 – Oct 2026"))</f>
        <v>2005–2014</v>
      </c>
      <c r="I204" s="24" t="n">
        <v>153.336</v>
      </c>
      <c r="J204" s="24" t="n">
        <v>154.042</v>
      </c>
      <c r="K204" s="24" t="n">
        <v>147.82</v>
      </c>
      <c r="L204" s="25" t="n">
        <v>7.818</v>
      </c>
      <c r="M204" s="26" t="n">
        <v>70.559</v>
      </c>
      <c r="N204" s="4" t="s">
        <v>34</v>
      </c>
      <c r="O204" s="27" t="n">
        <v>-1.0106</v>
      </c>
      <c r="P204" s="28" t="n">
        <f aca="false">Summary!$C$6*O204</f>
        <v>-0.005053</v>
      </c>
      <c r="Q204" s="29" t="n">
        <f aca="false">Q203*(1+P204)</f>
        <v>11625.4834274668</v>
      </c>
      <c r="R204" s="29" t="n">
        <f aca="false">MAX(R203,Q204)</f>
        <v>11864.3506047878</v>
      </c>
      <c r="S204" s="30" t="n">
        <f aca="false">Q204/R204-1</f>
        <v>-0.0201331859853022</v>
      </c>
      <c r="T204" s="31" t="n">
        <f aca="false">DATE(YEAR(F204),MONTH(F204),1)</f>
        <v>41395</v>
      </c>
    </row>
    <row r="205" customFormat="false" ht="15" hidden="false" customHeight="true" outlineLevel="0" collapsed="false">
      <c r="A205" s="4" t="n">
        <v>204</v>
      </c>
      <c r="B205" s="4" t="s">
        <v>28</v>
      </c>
      <c r="C205" s="4" t="s">
        <v>54</v>
      </c>
      <c r="D205" s="23" t="n">
        <v>41423.9166666667</v>
      </c>
      <c r="E205" s="23" t="n">
        <v>41424.4270833333</v>
      </c>
      <c r="F205" s="23" t="n">
        <v>41429.2708333333</v>
      </c>
      <c r="G205" s="4" t="n">
        <f aca="false">YEAR(E205)</f>
        <v>2013</v>
      </c>
      <c r="H205" s="4" t="str">
        <f aca="false">IF(E205&lt;DATE(2015,1,1),"2005–2014",IF(E205&lt;DATE(2022,3,5),"2015 – Mar 2022","Mar 2022 – Oct 2026"))</f>
        <v>2005–2014</v>
      </c>
      <c r="I205" s="24" t="n">
        <v>153.577</v>
      </c>
      <c r="J205" s="24" t="n">
        <v>154.293</v>
      </c>
      <c r="K205" s="24" t="n">
        <v>151.391</v>
      </c>
      <c r="L205" s="25" t="n">
        <v>3.053</v>
      </c>
      <c r="M205" s="26" t="n">
        <v>71.593</v>
      </c>
      <c r="N205" s="4" t="s">
        <v>35</v>
      </c>
      <c r="O205" s="27" t="n">
        <v>0.0314</v>
      </c>
      <c r="P205" s="28" t="n">
        <f aca="false">Summary!$C$6*O205</f>
        <v>0.000157</v>
      </c>
      <c r="Q205" s="29" t="n">
        <f aca="false">Q204*(1+P205)</f>
        <v>11627.3086283649</v>
      </c>
      <c r="R205" s="29" t="n">
        <f aca="false">MAX(R204,Q205)</f>
        <v>11864.3506047878</v>
      </c>
      <c r="S205" s="30" t="n">
        <f aca="false">Q205/R205-1</f>
        <v>-0.0199793468955019</v>
      </c>
      <c r="T205" s="31" t="n">
        <f aca="false">DATE(YEAR(F205),MONTH(F205),1)</f>
        <v>41426</v>
      </c>
    </row>
    <row r="206" customFormat="false" ht="15" hidden="false" customHeight="true" outlineLevel="0" collapsed="false">
      <c r="A206" s="4" t="n">
        <v>205</v>
      </c>
      <c r="B206" s="4" t="s">
        <v>27</v>
      </c>
      <c r="C206" s="4" t="s">
        <v>54</v>
      </c>
      <c r="D206" s="23" t="n">
        <v>41429.9166666667</v>
      </c>
      <c r="E206" s="23" t="n">
        <v>41430.125</v>
      </c>
      <c r="F206" s="23" t="n">
        <v>41430.34375</v>
      </c>
      <c r="G206" s="4" t="n">
        <f aca="false">YEAR(E206)</f>
        <v>2013</v>
      </c>
      <c r="H206" s="4" t="str">
        <f aca="false">IF(E206&lt;DATE(2015,1,1),"2005–2014",IF(E206&lt;DATE(2022,3,5),"2015 – Mar 2022","Mar 2022 – Oct 2026"))</f>
        <v>2005–2014</v>
      </c>
      <c r="I206" s="24" t="n">
        <v>153.35</v>
      </c>
      <c r="J206" s="24" t="n">
        <v>154.05</v>
      </c>
      <c r="K206" s="24" t="n">
        <v>147.819</v>
      </c>
      <c r="L206" s="25" t="n">
        <v>7.903</v>
      </c>
      <c r="M206" s="26" t="n">
        <v>69.986</v>
      </c>
      <c r="N206" s="4" t="s">
        <v>35</v>
      </c>
      <c r="O206" s="27" t="n">
        <v>0.0321</v>
      </c>
      <c r="P206" s="28" t="n">
        <f aca="false">Summary!$C$6*O206</f>
        <v>0.0001605</v>
      </c>
      <c r="Q206" s="29" t="n">
        <f aca="false">Q205*(1+P206)</f>
        <v>11629.1748113998</v>
      </c>
      <c r="R206" s="29" t="n">
        <f aca="false">MAX(R205,Q206)</f>
        <v>11864.3506047878</v>
      </c>
      <c r="S206" s="30" t="n">
        <f aca="false">Q206/R206-1</f>
        <v>-0.0198220535806787</v>
      </c>
      <c r="T206" s="31" t="n">
        <f aca="false">DATE(YEAR(F206),MONTH(F206),1)</f>
        <v>41426</v>
      </c>
    </row>
    <row r="207" customFormat="false" ht="15" hidden="false" customHeight="true" outlineLevel="0" collapsed="false">
      <c r="A207" s="4" t="n">
        <v>206</v>
      </c>
      <c r="B207" s="4" t="s">
        <v>27</v>
      </c>
      <c r="C207" s="4" t="s">
        <v>54</v>
      </c>
      <c r="D207" s="23" t="n">
        <v>41430.9166666667</v>
      </c>
      <c r="E207" s="23" t="n">
        <v>41431.4791666667</v>
      </c>
      <c r="F207" s="23" t="n">
        <v>41435.3541666667</v>
      </c>
      <c r="G207" s="4" t="n">
        <f aca="false">YEAR(E207)</f>
        <v>2013</v>
      </c>
      <c r="H207" s="4" t="str">
        <f aca="false">IF(E207&lt;DATE(2015,1,1),"2005–2014",IF(E207&lt;DATE(2022,3,5),"2015 – Mar 2022","Mar 2022 – Oct 2026"))</f>
        <v>2005–2014</v>
      </c>
      <c r="I207" s="24" t="n">
        <v>153.017</v>
      </c>
      <c r="J207" s="24" t="n">
        <v>153.707</v>
      </c>
      <c r="K207" s="24" t="n">
        <v>147.818</v>
      </c>
      <c r="L207" s="25" t="n">
        <v>7.538</v>
      </c>
      <c r="M207" s="26" t="n">
        <v>68.969</v>
      </c>
      <c r="N207" s="4" t="s">
        <v>35</v>
      </c>
      <c r="O207" s="27" t="n">
        <v>0.0326</v>
      </c>
      <c r="P207" s="28" t="n">
        <f aca="false">Summary!$C$6*O207</f>
        <v>0.000163</v>
      </c>
      <c r="Q207" s="29" t="n">
        <f aca="false">Q206*(1+P207)</f>
        <v>11631.070366894</v>
      </c>
      <c r="R207" s="29" t="n">
        <f aca="false">MAX(R206,Q207)</f>
        <v>11864.3506047878</v>
      </c>
      <c r="S207" s="30" t="n">
        <f aca="false">Q207/R207-1</f>
        <v>-0.0196622845754124</v>
      </c>
      <c r="T207" s="31" t="n">
        <f aca="false">DATE(YEAR(F207),MONTH(F207),1)</f>
        <v>41426</v>
      </c>
    </row>
    <row r="208" customFormat="false" ht="15" hidden="false" customHeight="true" outlineLevel="0" collapsed="false">
      <c r="A208" s="4" t="n">
        <v>207</v>
      </c>
      <c r="B208" s="4" t="s">
        <v>28</v>
      </c>
      <c r="C208" s="4" t="s">
        <v>53</v>
      </c>
      <c r="D208" s="23" t="n">
        <v>41435.9166666667</v>
      </c>
      <c r="E208" s="23" t="n">
        <v>41436.1145833333</v>
      </c>
      <c r="F208" s="23" t="n">
        <v>41436.3125</v>
      </c>
      <c r="G208" s="4" t="n">
        <f aca="false">YEAR(E208)</f>
        <v>2013</v>
      </c>
      <c r="H208" s="4" t="str">
        <f aca="false">IF(E208&lt;DATE(2015,1,1),"2005–2014",IF(E208&lt;DATE(2022,3,5),"2015 – Mar 2022","Mar 2022 – Oct 2026"))</f>
        <v>2005–2014</v>
      </c>
      <c r="I208" s="24" t="n">
        <v>153.277</v>
      </c>
      <c r="J208" s="24" t="n">
        <v>152.465</v>
      </c>
      <c r="K208" s="24" t="n">
        <v>156.195</v>
      </c>
      <c r="L208" s="25" t="n">
        <v>3.597</v>
      </c>
      <c r="M208" s="26" t="n">
        <v>81.141</v>
      </c>
      <c r="N208" s="4" t="s">
        <v>34</v>
      </c>
      <c r="O208" s="27" t="n">
        <v>-1.0092</v>
      </c>
      <c r="P208" s="28" t="n">
        <f aca="false">Summary!$C$6*O208</f>
        <v>-0.005046</v>
      </c>
      <c r="Q208" s="29" t="n">
        <f aca="false">Q207*(1+P208)</f>
        <v>11572.3799858227</v>
      </c>
      <c r="R208" s="29" t="n">
        <f aca="false">MAX(R207,Q208)</f>
        <v>11864.3506047878</v>
      </c>
      <c r="S208" s="30" t="n">
        <f aca="false">Q208/R208-1</f>
        <v>-0.0246090686874448</v>
      </c>
      <c r="T208" s="31" t="n">
        <f aca="false">DATE(YEAR(F208),MONTH(F208),1)</f>
        <v>41426</v>
      </c>
    </row>
    <row r="209" customFormat="false" ht="15" hidden="false" customHeight="true" outlineLevel="0" collapsed="false">
      <c r="A209" s="4" t="n">
        <v>208</v>
      </c>
      <c r="B209" s="4" t="s">
        <v>27</v>
      </c>
      <c r="C209" s="4" t="s">
        <v>54</v>
      </c>
      <c r="D209" s="23" t="n">
        <v>41453.9166666667</v>
      </c>
      <c r="E209" s="23" t="n">
        <v>41456.34375</v>
      </c>
      <c r="F209" s="23" t="n">
        <v>41457.5833333333</v>
      </c>
      <c r="G209" s="4" t="n">
        <f aca="false">YEAR(E209)</f>
        <v>2013</v>
      </c>
      <c r="H209" s="4" t="str">
        <f aca="false">IF(E209&lt;DATE(2015,1,1),"2005–2014",IF(E209&lt;DATE(2022,3,5),"2015 – Mar 2022","Mar 2022 – Oct 2026"))</f>
        <v>2005–2014</v>
      </c>
      <c r="I209" s="24" t="n">
        <v>151.34</v>
      </c>
      <c r="J209" s="24" t="n">
        <v>152.187</v>
      </c>
      <c r="K209" s="24" t="n">
        <v>147.902</v>
      </c>
      <c r="L209" s="25" t="n">
        <v>4.059</v>
      </c>
      <c r="M209" s="26" t="n">
        <v>84.7</v>
      </c>
      <c r="N209" s="4" t="s">
        <v>34</v>
      </c>
      <c r="O209" s="27" t="n">
        <v>-1.0089</v>
      </c>
      <c r="P209" s="28" t="n">
        <f aca="false">Summary!$C$6*O209</f>
        <v>-0.0050445</v>
      </c>
      <c r="Q209" s="29" t="n">
        <f aca="false">Q208*(1+P209)</f>
        <v>11514.0031149842</v>
      </c>
      <c r="R209" s="29" t="n">
        <f aca="false">MAX(R208,Q209)</f>
        <v>11864.3506047878</v>
      </c>
      <c r="S209" s="30" t="n">
        <f aca="false">Q209/R209-1</f>
        <v>-0.0295294282404511</v>
      </c>
      <c r="T209" s="31" t="n">
        <f aca="false">DATE(YEAR(F209),MONTH(F209),1)</f>
        <v>41456</v>
      </c>
    </row>
    <row r="210" customFormat="false" ht="15" hidden="false" customHeight="true" outlineLevel="0" collapsed="false">
      <c r="A210" s="4" t="n">
        <v>209</v>
      </c>
      <c r="B210" s="4" t="s">
        <v>28</v>
      </c>
      <c r="C210" s="4" t="s">
        <v>53</v>
      </c>
      <c r="D210" s="23" t="n">
        <v>41457.9166666667</v>
      </c>
      <c r="E210" s="23" t="n">
        <v>41459.4583333333</v>
      </c>
      <c r="F210" s="23" t="n">
        <v>41459.46875</v>
      </c>
      <c r="G210" s="4" t="n">
        <f aca="false">YEAR(E210)</f>
        <v>2013</v>
      </c>
      <c r="H210" s="4" t="str">
        <f aca="false">IF(E210&lt;DATE(2015,1,1),"2005–2014",IF(E210&lt;DATE(2022,3,5),"2015 – Mar 2022","Mar 2022 – Oct 2026"))</f>
        <v>2005–2014</v>
      </c>
      <c r="I210" s="24" t="n">
        <v>151.141</v>
      </c>
      <c r="J210" s="24" t="n">
        <v>150.333</v>
      </c>
      <c r="K210" s="24" t="n">
        <v>154.067</v>
      </c>
      <c r="L210" s="25" t="n">
        <v>3.623</v>
      </c>
      <c r="M210" s="26" t="n">
        <v>80.792</v>
      </c>
      <c r="N210" s="4" t="s">
        <v>35</v>
      </c>
      <c r="O210" s="27" t="n">
        <v>-0.6872</v>
      </c>
      <c r="P210" s="28" t="n">
        <f aca="false">Summary!$C$6*O210</f>
        <v>-0.003436</v>
      </c>
      <c r="Q210" s="29" t="n">
        <f aca="false">Q209*(1+P210)</f>
        <v>11474.4410002811</v>
      </c>
      <c r="R210" s="29" t="n">
        <f aca="false">MAX(R209,Q210)</f>
        <v>11864.3506047878</v>
      </c>
      <c r="S210" s="30" t="n">
        <f aca="false">Q210/R210-1</f>
        <v>-0.0328639651250169</v>
      </c>
      <c r="T210" s="31" t="n">
        <f aca="false">DATE(YEAR(F210),MONTH(F210),1)</f>
        <v>41456</v>
      </c>
    </row>
    <row r="211" customFormat="false" ht="15" hidden="false" customHeight="true" outlineLevel="0" collapsed="false">
      <c r="A211" s="4" t="n">
        <v>210</v>
      </c>
      <c r="B211" s="4" t="s">
        <v>28</v>
      </c>
      <c r="C211" s="4" t="s">
        <v>54</v>
      </c>
      <c r="D211" s="23" t="n">
        <v>41471.9166666667</v>
      </c>
      <c r="E211" s="23" t="n">
        <v>41472.3541666667</v>
      </c>
      <c r="F211" s="23" t="n">
        <v>41472.3541666667</v>
      </c>
      <c r="G211" s="4" t="n">
        <f aca="false">YEAR(E211)</f>
        <v>2013</v>
      </c>
      <c r="H211" s="4" t="str">
        <f aca="false">IF(E211&lt;DATE(2015,1,1),"2005–2014",IF(E211&lt;DATE(2022,3,5),"2015 – Mar 2022","Mar 2022 – Oct 2026"))</f>
        <v>2005–2014</v>
      </c>
      <c r="I211" s="24" t="n">
        <v>151.132</v>
      </c>
      <c r="J211" s="24" t="n">
        <v>151.856</v>
      </c>
      <c r="K211" s="24" t="n">
        <v>147.887</v>
      </c>
      <c r="L211" s="25" t="n">
        <v>4.48</v>
      </c>
      <c r="M211" s="26" t="n">
        <v>72.43</v>
      </c>
      <c r="N211" s="4" t="s">
        <v>34</v>
      </c>
      <c r="O211" s="27" t="n">
        <v>-1.0104</v>
      </c>
      <c r="P211" s="28" t="n">
        <f aca="false">Summary!$C$6*O211</f>
        <v>-0.005052</v>
      </c>
      <c r="Q211" s="29" t="n">
        <f aca="false">Q210*(1+P211)</f>
        <v>11416.4721243477</v>
      </c>
      <c r="R211" s="29" t="n">
        <f aca="false">MAX(R210,Q211)</f>
        <v>11864.3506047878</v>
      </c>
      <c r="S211" s="30" t="n">
        <f aca="false">Q211/R211-1</f>
        <v>-0.0377499363732053</v>
      </c>
      <c r="T211" s="31" t="n">
        <f aca="false">DATE(YEAR(F211),MONTH(F211),1)</f>
        <v>41456</v>
      </c>
    </row>
    <row r="212" customFormat="false" ht="15" hidden="false" customHeight="true" outlineLevel="0" collapsed="false">
      <c r="A212" s="4" t="n">
        <v>211</v>
      </c>
      <c r="B212" s="4" t="s">
        <v>27</v>
      </c>
      <c r="C212" s="4" t="s">
        <v>53</v>
      </c>
      <c r="D212" s="23" t="n">
        <v>41474.9166666667</v>
      </c>
      <c r="E212" s="23" t="n">
        <v>41477.2395833333</v>
      </c>
      <c r="F212" s="23" t="n">
        <v>41480.3854166667</v>
      </c>
      <c r="G212" s="4" t="n">
        <f aca="false">YEAR(E212)</f>
        <v>2013</v>
      </c>
      <c r="H212" s="4" t="str">
        <f aca="false">IF(E212&lt;DATE(2015,1,1),"2005–2014",IF(E212&lt;DATE(2022,3,5),"2015 – Mar 2022","Mar 2022 – Oct 2026"))</f>
        <v>2005–2014</v>
      </c>
      <c r="I212" s="24" t="n">
        <v>152.878</v>
      </c>
      <c r="J212" s="24" t="n">
        <v>152.152</v>
      </c>
      <c r="K212" s="24" t="n">
        <v>156.206</v>
      </c>
      <c r="L212" s="25" t="n">
        <v>4.586</v>
      </c>
      <c r="M212" s="26" t="n">
        <v>72.555</v>
      </c>
      <c r="N212" s="4" t="s">
        <v>35</v>
      </c>
      <c r="O212" s="27" t="n">
        <v>0.031</v>
      </c>
      <c r="P212" s="28" t="n">
        <f aca="false">Summary!$C$6*O212</f>
        <v>0.000155</v>
      </c>
      <c r="Q212" s="29" t="n">
        <f aca="false">Q211*(1+P212)</f>
        <v>11418.241677527</v>
      </c>
      <c r="R212" s="29" t="n">
        <f aca="false">MAX(R211,Q212)</f>
        <v>11864.3506047878</v>
      </c>
      <c r="S212" s="30" t="n">
        <f aca="false">Q212/R212-1</f>
        <v>-0.0376007876133433</v>
      </c>
      <c r="T212" s="31" t="n">
        <f aca="false">DATE(YEAR(F212),MONTH(F212),1)</f>
        <v>41456</v>
      </c>
    </row>
    <row r="213" customFormat="false" ht="15" hidden="false" customHeight="true" outlineLevel="0" collapsed="false">
      <c r="A213" s="4" t="n">
        <v>212</v>
      </c>
      <c r="B213" s="4" t="s">
        <v>27</v>
      </c>
      <c r="C213" s="4" t="s">
        <v>54</v>
      </c>
      <c r="D213" s="23" t="n">
        <v>41507.9166666667</v>
      </c>
      <c r="E213" s="23" t="n">
        <v>41508.5416666667</v>
      </c>
      <c r="F213" s="23" t="n">
        <v>41508.9895833333</v>
      </c>
      <c r="G213" s="4" t="n">
        <f aca="false">YEAR(E213)</f>
        <v>2013</v>
      </c>
      <c r="H213" s="4" t="str">
        <f aca="false">IF(E213&lt;DATE(2015,1,1),"2005–2014",IF(E213&lt;DATE(2022,3,5),"2015 – Mar 2022","Mar 2022 – Oct 2026"))</f>
        <v>2005–2014</v>
      </c>
      <c r="I213" s="24" t="n">
        <v>153.576</v>
      </c>
      <c r="J213" s="24" t="n">
        <v>154.228</v>
      </c>
      <c r="K213" s="24" t="n">
        <v>151.383</v>
      </c>
      <c r="L213" s="25" t="n">
        <v>3.364</v>
      </c>
      <c r="M213" s="26" t="n">
        <v>65.181</v>
      </c>
      <c r="N213" s="4" t="s">
        <v>34</v>
      </c>
      <c r="O213" s="27" t="n">
        <v>-1.0115</v>
      </c>
      <c r="P213" s="28" t="n">
        <f aca="false">Summary!$C$6*O213</f>
        <v>-0.0050575</v>
      </c>
      <c r="Q213" s="29" t="n">
        <f aca="false">Q212*(1+P213)</f>
        <v>11360.4939202429</v>
      </c>
      <c r="R213" s="29" t="n">
        <f aca="false">MAX(R212,Q213)</f>
        <v>11864.3506047878</v>
      </c>
      <c r="S213" s="30" t="n">
        <f aca="false">Q213/R213-1</f>
        <v>-0.0424681216299888</v>
      </c>
      <c r="T213" s="31" t="n">
        <f aca="false">DATE(YEAR(F213),MONTH(F213),1)</f>
        <v>41487</v>
      </c>
    </row>
    <row r="214" customFormat="false" ht="15" hidden="false" customHeight="true" outlineLevel="0" collapsed="false">
      <c r="A214" s="4" t="n">
        <v>213</v>
      </c>
      <c r="B214" s="4" t="s">
        <v>28</v>
      </c>
      <c r="C214" s="4" t="s">
        <v>54</v>
      </c>
      <c r="D214" s="23" t="n">
        <v>41680.9166666667</v>
      </c>
      <c r="E214" s="23" t="n">
        <v>41681.4166666667</v>
      </c>
      <c r="F214" s="23" t="n">
        <v>41682.4375</v>
      </c>
      <c r="G214" s="4" t="n">
        <f aca="false">YEAR(E214)</f>
        <v>2014</v>
      </c>
      <c r="H214" s="4" t="str">
        <f aca="false">IF(E214&lt;DATE(2015,1,1),"2005–2014",IF(E214&lt;DATE(2022,3,5),"2015 – Mar 2022","Mar 2022 – Oct 2026"))</f>
        <v>2005–2014</v>
      </c>
      <c r="I214" s="24" t="n">
        <v>168.344</v>
      </c>
      <c r="J214" s="24" t="n">
        <v>169.165</v>
      </c>
      <c r="K214" s="24" t="n">
        <v>164.741</v>
      </c>
      <c r="L214" s="25" t="n">
        <v>4.387</v>
      </c>
      <c r="M214" s="26" t="n">
        <v>82.119</v>
      </c>
      <c r="N214" s="4" t="s">
        <v>34</v>
      </c>
      <c r="O214" s="27" t="n">
        <v>-1.0091</v>
      </c>
      <c r="P214" s="28" t="n">
        <f aca="false">Summary!$C$6*O214</f>
        <v>-0.0050455</v>
      </c>
      <c r="Q214" s="29" t="n">
        <f aca="false">Q213*(1+P214)</f>
        <v>11303.1745481683</v>
      </c>
      <c r="R214" s="29" t="n">
        <f aca="false">MAX(R213,Q214)</f>
        <v>11864.3506047878</v>
      </c>
      <c r="S214" s="30" t="n">
        <f aca="false">Q214/R214-1</f>
        <v>-0.0472993487223047</v>
      </c>
      <c r="T214" s="31" t="n">
        <f aca="false">DATE(YEAR(F214),MONTH(F214),1)</f>
        <v>41671</v>
      </c>
    </row>
    <row r="215" customFormat="false" ht="15" hidden="false" customHeight="true" outlineLevel="0" collapsed="false">
      <c r="A215" s="4" t="n">
        <v>214</v>
      </c>
      <c r="B215" s="4" t="s">
        <v>27</v>
      </c>
      <c r="C215" s="4" t="s">
        <v>54</v>
      </c>
      <c r="D215" s="23" t="n">
        <v>41695.9166666667</v>
      </c>
      <c r="E215" s="23" t="n">
        <v>41696.2395833333</v>
      </c>
      <c r="F215" s="23" t="n">
        <v>41697.6770833333</v>
      </c>
      <c r="G215" s="4" t="n">
        <f aca="false">YEAR(E215)</f>
        <v>2014</v>
      </c>
      <c r="H215" s="4" t="str">
        <f aca="false">IF(E215&lt;DATE(2015,1,1),"2005–2014",IF(E215&lt;DATE(2022,3,5),"2015 – Mar 2022","Mar 2022 – Oct 2026"))</f>
        <v>2005–2014</v>
      </c>
      <c r="I215" s="24" t="n">
        <v>170.584</v>
      </c>
      <c r="J215" s="24" t="n">
        <v>171.269</v>
      </c>
      <c r="K215" s="24" t="n">
        <v>168.45</v>
      </c>
      <c r="L215" s="25" t="n">
        <v>3.117</v>
      </c>
      <c r="M215" s="26" t="n">
        <v>68.488</v>
      </c>
      <c r="N215" s="4" t="s">
        <v>35</v>
      </c>
      <c r="O215" s="27" t="n">
        <v>0.0329</v>
      </c>
      <c r="P215" s="28" t="n">
        <f aca="false">Summary!$C$6*O215</f>
        <v>0.0001645</v>
      </c>
      <c r="Q215" s="29" t="n">
        <f aca="false">Q214*(1+P215)</f>
        <v>11305.0339203815</v>
      </c>
      <c r="R215" s="29" t="n">
        <f aca="false">MAX(R214,Q215)</f>
        <v>11864.3506047878</v>
      </c>
      <c r="S215" s="30" t="n">
        <f aca="false">Q215/R215-1</f>
        <v>-0.0471426294651697</v>
      </c>
      <c r="T215" s="31" t="n">
        <f aca="false">DATE(YEAR(F215),MONTH(F215),1)</f>
        <v>41671</v>
      </c>
    </row>
    <row r="216" customFormat="false" ht="15" hidden="false" customHeight="true" outlineLevel="0" collapsed="false">
      <c r="A216" s="4" t="n">
        <v>215</v>
      </c>
      <c r="B216" s="4" t="s">
        <v>28</v>
      </c>
      <c r="C216" s="4" t="s">
        <v>54</v>
      </c>
      <c r="D216" s="23" t="n">
        <v>41697.9166666667</v>
      </c>
      <c r="E216" s="23" t="n">
        <v>41698.6354166667</v>
      </c>
      <c r="F216" s="23" t="n">
        <v>41703.375</v>
      </c>
      <c r="G216" s="4" t="n">
        <f aca="false">YEAR(E216)</f>
        <v>2014</v>
      </c>
      <c r="H216" s="4" t="str">
        <f aca="false">IF(E216&lt;DATE(2015,1,1),"2005–2014",IF(E216&lt;DATE(2022,3,5),"2015 – Mar 2022","Mar 2022 – Oct 2026"))</f>
        <v>2005–2014</v>
      </c>
      <c r="I216" s="24" t="n">
        <v>170.946</v>
      </c>
      <c r="J216" s="24" t="n">
        <v>171.615</v>
      </c>
      <c r="K216" s="24" t="n">
        <v>168.827</v>
      </c>
      <c r="L216" s="25" t="n">
        <v>3.167</v>
      </c>
      <c r="M216" s="26" t="n">
        <v>66.91</v>
      </c>
      <c r="N216" s="4" t="s">
        <v>35</v>
      </c>
      <c r="O216" s="27" t="n">
        <v>0.0336</v>
      </c>
      <c r="P216" s="28" t="n">
        <f aca="false">Summary!$C$6*O216</f>
        <v>0.000168</v>
      </c>
      <c r="Q216" s="29" t="n">
        <f aca="false">Q215*(1+P216)</f>
        <v>11306.9331660801</v>
      </c>
      <c r="R216" s="29" t="n">
        <f aca="false">MAX(R215,Q216)</f>
        <v>11864.3506047878</v>
      </c>
      <c r="S216" s="30" t="n">
        <f aca="false">Q216/R216-1</f>
        <v>-0.0469825494269199</v>
      </c>
      <c r="T216" s="31" t="n">
        <f aca="false">DATE(YEAR(F216),MONTH(F216),1)</f>
        <v>41699</v>
      </c>
    </row>
    <row r="217" customFormat="false" ht="15" hidden="false" customHeight="true" outlineLevel="0" collapsed="false">
      <c r="A217" s="4" t="n">
        <v>216</v>
      </c>
      <c r="B217" s="4" t="s">
        <v>27</v>
      </c>
      <c r="C217" s="4" t="s">
        <v>53</v>
      </c>
      <c r="D217" s="23" t="n">
        <v>41719.9166666667</v>
      </c>
      <c r="E217" s="23" t="n">
        <v>41721.9895833333</v>
      </c>
      <c r="F217" s="23" t="n">
        <v>41722.5833333333</v>
      </c>
      <c r="G217" s="4" t="n">
        <f aca="false">YEAR(E217)</f>
        <v>2014</v>
      </c>
      <c r="H217" s="4" t="str">
        <f aca="false">IF(E217&lt;DATE(2015,1,1),"2005–2014",IF(E217&lt;DATE(2022,3,5),"2015 – Mar 2022","Mar 2022 – Oct 2026"))</f>
        <v>2005–2014</v>
      </c>
      <c r="I217" s="24" t="n">
        <v>168.54</v>
      </c>
      <c r="J217" s="24" t="n">
        <v>167.913</v>
      </c>
      <c r="K217" s="24" t="n">
        <v>170.656</v>
      </c>
      <c r="L217" s="25" t="n">
        <v>3.375</v>
      </c>
      <c r="M217" s="26" t="n">
        <v>62.683</v>
      </c>
      <c r="N217" s="4" t="s">
        <v>35</v>
      </c>
      <c r="O217" s="27" t="n">
        <v>0.0359</v>
      </c>
      <c r="P217" s="28" t="n">
        <f aca="false">Summary!$C$6*O217</f>
        <v>0.0001795</v>
      </c>
      <c r="Q217" s="29" t="n">
        <f aca="false">Q216*(1+P217)</f>
        <v>11308.9627605834</v>
      </c>
      <c r="R217" s="29" t="n">
        <f aca="false">MAX(R216,Q217)</f>
        <v>11864.3506047878</v>
      </c>
      <c r="S217" s="30" t="n">
        <f aca="false">Q217/R217-1</f>
        <v>-0.046811482794542</v>
      </c>
      <c r="T217" s="31" t="n">
        <f aca="false">DATE(YEAR(F217),MONTH(F217),1)</f>
        <v>41699</v>
      </c>
    </row>
    <row r="218" customFormat="false" ht="15" hidden="false" customHeight="true" outlineLevel="0" collapsed="false">
      <c r="A218" s="4" t="n">
        <v>217</v>
      </c>
      <c r="B218" s="4" t="s">
        <v>27</v>
      </c>
      <c r="C218" s="4" t="s">
        <v>54</v>
      </c>
      <c r="D218" s="23" t="n">
        <v>41722.9166666667</v>
      </c>
      <c r="E218" s="23" t="n">
        <v>41723.2708333333</v>
      </c>
      <c r="F218" s="23" t="n">
        <v>41723.5833333333</v>
      </c>
      <c r="G218" s="4" t="n">
        <f aca="false">YEAR(E218)</f>
        <v>2014</v>
      </c>
      <c r="H218" s="4" t="str">
        <f aca="false">IF(E218&lt;DATE(2015,1,1),"2005–2014",IF(E218&lt;DATE(2022,3,5),"2015 – Mar 2022","Mar 2022 – Oct 2026"))</f>
        <v>2005–2014</v>
      </c>
      <c r="I218" s="24" t="n">
        <v>168.67</v>
      </c>
      <c r="J218" s="24" t="n">
        <v>169.285</v>
      </c>
      <c r="K218" s="24" t="n">
        <v>166.337</v>
      </c>
      <c r="L218" s="25" t="n">
        <v>3.795</v>
      </c>
      <c r="M218" s="26" t="n">
        <v>61.48</v>
      </c>
      <c r="N218" s="4" t="s">
        <v>34</v>
      </c>
      <c r="O218" s="27" t="n">
        <v>-1.0122</v>
      </c>
      <c r="P218" s="28" t="n">
        <f aca="false">Summary!$C$6*O218</f>
        <v>-0.005061</v>
      </c>
      <c r="Q218" s="29" t="n">
        <f aca="false">Q217*(1+P218)</f>
        <v>11251.7281000521</v>
      </c>
      <c r="R218" s="29" t="n">
        <f aca="false">MAX(R217,Q218)</f>
        <v>11864.3506047878</v>
      </c>
      <c r="S218" s="30" t="n">
        <f aca="false">Q218/R218-1</f>
        <v>-0.0516355698801188</v>
      </c>
      <c r="T218" s="31" t="n">
        <f aca="false">DATE(YEAR(F218),MONTH(F218),1)</f>
        <v>41699</v>
      </c>
    </row>
    <row r="219" customFormat="false" ht="15" hidden="false" customHeight="true" outlineLevel="0" collapsed="false">
      <c r="A219" s="4" t="n">
        <v>218</v>
      </c>
      <c r="B219" s="4" t="s">
        <v>27</v>
      </c>
      <c r="C219" s="4" t="s">
        <v>53</v>
      </c>
      <c r="D219" s="23" t="n">
        <v>41736.9166666667</v>
      </c>
      <c r="E219" s="23" t="n">
        <v>41737.125</v>
      </c>
      <c r="F219" s="23" t="n">
        <v>41737.75</v>
      </c>
      <c r="G219" s="4" t="n">
        <f aca="false">YEAR(E219)</f>
        <v>2014</v>
      </c>
      <c r="H219" s="4" t="str">
        <f aca="false">IF(E219&lt;DATE(2015,1,1),"2005–2014",IF(E219&lt;DATE(2022,3,5),"2015 – Mar 2022","Mar 2022 – Oct 2026"))</f>
        <v>2005–2014</v>
      </c>
      <c r="I219" s="24" t="n">
        <v>170.958</v>
      </c>
      <c r="J219" s="24" t="n">
        <v>170.427</v>
      </c>
      <c r="K219" s="24" t="n">
        <v>172.558</v>
      </c>
      <c r="L219" s="25" t="n">
        <v>3.014</v>
      </c>
      <c r="M219" s="26" t="n">
        <v>53.102</v>
      </c>
      <c r="N219" s="4" t="s">
        <v>34</v>
      </c>
      <c r="O219" s="27" t="n">
        <v>-1.0141</v>
      </c>
      <c r="P219" s="28" t="n">
        <f aca="false">Summary!$C$6*O219</f>
        <v>-0.0050705</v>
      </c>
      <c r="Q219" s="29" t="n">
        <f aca="false">Q218*(1+P219)</f>
        <v>11194.6762127208</v>
      </c>
      <c r="R219" s="29" t="n">
        <f aca="false">MAX(R218,Q219)</f>
        <v>11864.3506047878</v>
      </c>
      <c r="S219" s="30" t="n">
        <f aca="false">Q219/R219-1</f>
        <v>-0.0564442517230417</v>
      </c>
      <c r="T219" s="31" t="n">
        <f aca="false">DATE(YEAR(F219),MONTH(F219),1)</f>
        <v>41730</v>
      </c>
    </row>
    <row r="220" customFormat="false" ht="15" hidden="false" customHeight="true" outlineLevel="0" collapsed="false">
      <c r="A220" s="4" t="n">
        <v>219</v>
      </c>
      <c r="B220" s="4" t="s">
        <v>28</v>
      </c>
      <c r="C220" s="4" t="s">
        <v>53</v>
      </c>
      <c r="D220" s="23" t="n">
        <v>41738.9166666667</v>
      </c>
      <c r="E220" s="23" t="n">
        <v>41739.2604166667</v>
      </c>
      <c r="F220" s="23" t="n">
        <v>41739.375</v>
      </c>
      <c r="G220" s="4" t="n">
        <f aca="false">YEAR(E220)</f>
        <v>2014</v>
      </c>
      <c r="H220" s="4" t="str">
        <f aca="false">IF(E220&lt;DATE(2015,1,1),"2005–2014",IF(E220&lt;DATE(2022,3,5),"2015 – Mar 2022","Mar 2022 – Oct 2026"))</f>
        <v>2005–2014</v>
      </c>
      <c r="I220" s="24" t="n">
        <v>170.726</v>
      </c>
      <c r="J220" s="24" t="n">
        <v>170.202</v>
      </c>
      <c r="K220" s="24" t="n">
        <v>172.559</v>
      </c>
      <c r="L220" s="25" t="n">
        <v>3.497</v>
      </c>
      <c r="M220" s="26" t="n">
        <v>52.413</v>
      </c>
      <c r="N220" s="4" t="s">
        <v>34</v>
      </c>
      <c r="O220" s="27" t="n">
        <v>-1.0143</v>
      </c>
      <c r="P220" s="28" t="n">
        <f aca="false">Summary!$C$6*O220</f>
        <v>-0.0050715</v>
      </c>
      <c r="Q220" s="29" t="n">
        <f aca="false">Q219*(1+P220)</f>
        <v>11137.9024123079</v>
      </c>
      <c r="R220" s="29" t="n">
        <f aca="false">MAX(R219,Q220)</f>
        <v>11864.3506047878</v>
      </c>
      <c r="S220" s="30" t="n">
        <f aca="false">Q220/R220-1</f>
        <v>-0.0612294947004283</v>
      </c>
      <c r="T220" s="31" t="n">
        <f aca="false">DATE(YEAR(F220),MONTH(F220),1)</f>
        <v>41730</v>
      </c>
    </row>
    <row r="221" customFormat="false" ht="15" hidden="false" customHeight="true" outlineLevel="0" collapsed="false">
      <c r="A221" s="4" t="n">
        <v>220</v>
      </c>
      <c r="B221" s="4" t="s">
        <v>27</v>
      </c>
      <c r="C221" s="4" t="s">
        <v>54</v>
      </c>
      <c r="D221" s="23" t="n">
        <v>41740.9166666667</v>
      </c>
      <c r="E221" s="23" t="n">
        <v>41743.7708333333</v>
      </c>
      <c r="F221" s="23" t="n">
        <v>41744.5729166667</v>
      </c>
      <c r="G221" s="4" t="n">
        <f aca="false">YEAR(E221)</f>
        <v>2014</v>
      </c>
      <c r="H221" s="4" t="str">
        <f aca="false">IF(E221&lt;DATE(2015,1,1),"2005–2014",IF(E221&lt;DATE(2022,3,5),"2015 – Mar 2022","Mar 2022 – Oct 2026"))</f>
        <v>2005–2014</v>
      </c>
      <c r="I221" s="24" t="n">
        <v>170.13</v>
      </c>
      <c r="J221" s="24" t="n">
        <v>170.665</v>
      </c>
      <c r="K221" s="24" t="n">
        <v>168.431</v>
      </c>
      <c r="L221" s="25" t="n">
        <v>3.173</v>
      </c>
      <c r="M221" s="26" t="n">
        <v>53.534</v>
      </c>
      <c r="N221" s="4" t="s">
        <v>34</v>
      </c>
      <c r="O221" s="27" t="n">
        <v>-1.014</v>
      </c>
      <c r="P221" s="28" t="n">
        <f aca="false">Summary!$C$6*O221</f>
        <v>-0.00507</v>
      </c>
      <c r="Q221" s="29" t="n">
        <f aca="false">Q220*(1+P221)</f>
        <v>11081.4332470775</v>
      </c>
      <c r="R221" s="29" t="n">
        <f aca="false">MAX(R220,Q221)</f>
        <v>11864.3506047878</v>
      </c>
      <c r="S221" s="30" t="n">
        <f aca="false">Q221/R221-1</f>
        <v>-0.065989061162297</v>
      </c>
      <c r="T221" s="31" t="n">
        <f aca="false">DATE(YEAR(F221),MONTH(F221),1)</f>
        <v>41730</v>
      </c>
    </row>
    <row r="222" customFormat="false" ht="15" hidden="false" customHeight="true" outlineLevel="0" collapsed="false">
      <c r="A222" s="4" t="n">
        <v>221</v>
      </c>
      <c r="B222" s="4" t="s">
        <v>28</v>
      </c>
      <c r="C222" s="4" t="s">
        <v>54</v>
      </c>
      <c r="D222" s="23" t="n">
        <v>41752.9166666667</v>
      </c>
      <c r="E222" s="23" t="n">
        <v>41758.2916666667</v>
      </c>
      <c r="F222" s="23" t="n">
        <v>41759.4270833333</v>
      </c>
      <c r="G222" s="4" t="n">
        <f aca="false">YEAR(E222)</f>
        <v>2014</v>
      </c>
      <c r="H222" s="4" t="str">
        <f aca="false">IF(E222&lt;DATE(2015,1,1),"2005–2014",IF(E222&lt;DATE(2022,3,5),"2015 – Mar 2022","Mar 2022 – Oct 2026"))</f>
        <v>2005–2014</v>
      </c>
      <c r="I222" s="24" t="n">
        <v>172.629</v>
      </c>
      <c r="J222" s="24" t="n">
        <v>173.099</v>
      </c>
      <c r="K222" s="24" t="n">
        <v>171.022</v>
      </c>
      <c r="L222" s="25" t="n">
        <v>3.421</v>
      </c>
      <c r="M222" s="26" t="n">
        <v>46.966</v>
      </c>
      <c r="N222" s="4" t="s">
        <v>35</v>
      </c>
      <c r="O222" s="27" t="n">
        <v>0.0479</v>
      </c>
      <c r="P222" s="28" t="n">
        <f aca="false">Summary!$C$6*O222</f>
        <v>0.0002395</v>
      </c>
      <c r="Q222" s="29" t="n">
        <f aca="false">Q221*(1+P222)</f>
        <v>11084.0872503402</v>
      </c>
      <c r="R222" s="29" t="n">
        <f aca="false">MAX(R221,Q222)</f>
        <v>11864.3506047878</v>
      </c>
      <c r="S222" s="30" t="n">
        <f aca="false">Q222/R222-1</f>
        <v>-0.0657653655424454</v>
      </c>
      <c r="T222" s="31" t="n">
        <f aca="false">DATE(YEAR(F222),MONTH(F222),1)</f>
        <v>41730</v>
      </c>
    </row>
    <row r="223" customFormat="false" ht="15" hidden="false" customHeight="true" outlineLevel="0" collapsed="false">
      <c r="A223" s="4" t="n">
        <v>222</v>
      </c>
      <c r="B223" s="4" t="s">
        <v>28</v>
      </c>
      <c r="C223" s="4" t="s">
        <v>54</v>
      </c>
      <c r="D223" s="23" t="n">
        <v>41764.9166666667</v>
      </c>
      <c r="E223" s="23" t="n">
        <v>41765.3125</v>
      </c>
      <c r="F223" s="23" t="n">
        <v>41766.5</v>
      </c>
      <c r="G223" s="4" t="n">
        <f aca="false">YEAR(E223)</f>
        <v>2014</v>
      </c>
      <c r="H223" s="4" t="str">
        <f aca="false">IF(E223&lt;DATE(2015,1,1),"2005–2014",IF(E223&lt;DATE(2022,3,5),"2015 – Mar 2022","Mar 2022 – Oct 2026"))</f>
        <v>2005–2014</v>
      </c>
      <c r="I223" s="24" t="n">
        <v>172.679</v>
      </c>
      <c r="J223" s="24" t="n">
        <v>173.095</v>
      </c>
      <c r="K223" s="24" t="n">
        <v>171.016</v>
      </c>
      <c r="L223" s="25" t="n">
        <v>4.001</v>
      </c>
      <c r="M223" s="26" t="n">
        <v>41.573</v>
      </c>
      <c r="N223" s="4" t="s">
        <v>35</v>
      </c>
      <c r="O223" s="27" t="n">
        <v>0.0541</v>
      </c>
      <c r="P223" s="28" t="n">
        <f aca="false">Summary!$C$6*O223</f>
        <v>0.0002705</v>
      </c>
      <c r="Q223" s="29" t="n">
        <f aca="false">Q222*(1+P223)</f>
        <v>11087.0854959414</v>
      </c>
      <c r="R223" s="29" t="n">
        <f aca="false">MAX(R222,Q223)</f>
        <v>11864.3506047878</v>
      </c>
      <c r="S223" s="30" t="n">
        <f aca="false">Q223/R223-1</f>
        <v>-0.0655126550738245</v>
      </c>
      <c r="T223" s="31" t="n">
        <f aca="false">DATE(YEAR(F223),MONTH(F223),1)</f>
        <v>41760</v>
      </c>
    </row>
    <row r="224" customFormat="false" ht="15" hidden="false" customHeight="true" outlineLevel="0" collapsed="false">
      <c r="A224" s="4" t="n">
        <v>223</v>
      </c>
      <c r="B224" s="4" t="s">
        <v>27</v>
      </c>
      <c r="C224" s="4" t="s">
        <v>53</v>
      </c>
      <c r="D224" s="23" t="n">
        <v>41766.9166666667</v>
      </c>
      <c r="E224" s="23" t="n">
        <v>41767.3229166667</v>
      </c>
      <c r="F224" s="23" t="n">
        <v>41767.5</v>
      </c>
      <c r="G224" s="4" t="n">
        <f aca="false">YEAR(E224)</f>
        <v>2014</v>
      </c>
      <c r="H224" s="4" t="str">
        <f aca="false">IF(E224&lt;DATE(2015,1,1),"2005–2014",IF(E224&lt;DATE(2022,3,5),"2015 – Mar 2022","Mar 2022 – Oct 2026"))</f>
        <v>2005–2014</v>
      </c>
      <c r="I224" s="24" t="n">
        <v>172.713</v>
      </c>
      <c r="J224" s="24" t="n">
        <v>172.31</v>
      </c>
      <c r="K224" s="24" t="n">
        <v>174.323</v>
      </c>
      <c r="L224" s="25" t="n">
        <v>3.99</v>
      </c>
      <c r="M224" s="26" t="n">
        <v>40.349</v>
      </c>
      <c r="N224" s="4" t="s">
        <v>34</v>
      </c>
      <c r="O224" s="27" t="n">
        <v>-1.0186</v>
      </c>
      <c r="P224" s="28" t="n">
        <f aca="false">Summary!$C$6*O224</f>
        <v>-0.005093</v>
      </c>
      <c r="Q224" s="29" t="n">
        <f aca="false">Q223*(1+P224)</f>
        <v>11030.6189695106</v>
      </c>
      <c r="R224" s="29" t="n">
        <f aca="false">MAX(R223,Q224)</f>
        <v>11864.3506047878</v>
      </c>
      <c r="S224" s="30" t="n">
        <f aca="false">Q224/R224-1</f>
        <v>-0.0702719991215336</v>
      </c>
      <c r="T224" s="31" t="n">
        <f aca="false">DATE(YEAR(F224),MONTH(F224),1)</f>
        <v>41760</v>
      </c>
    </row>
    <row r="225" customFormat="false" ht="15" hidden="false" customHeight="true" outlineLevel="0" collapsed="false">
      <c r="A225" s="4" t="n">
        <v>224</v>
      </c>
      <c r="B225" s="4" t="s">
        <v>28</v>
      </c>
      <c r="C225" s="4" t="s">
        <v>54</v>
      </c>
      <c r="D225" s="23" t="n">
        <v>41767.9166666667</v>
      </c>
      <c r="E225" s="23" t="n">
        <v>41772.0416666667</v>
      </c>
      <c r="F225" s="23" t="n">
        <v>41773.3958333333</v>
      </c>
      <c r="G225" s="4" t="n">
        <f aca="false">YEAR(E225)</f>
        <v>2014</v>
      </c>
      <c r="H225" s="4" t="str">
        <f aca="false">IF(E225&lt;DATE(2015,1,1),"2005–2014",IF(E225&lt;DATE(2022,3,5),"2015 – Mar 2022","Mar 2022 – Oct 2026"))</f>
        <v>2005–2014</v>
      </c>
      <c r="I225" s="24" t="n">
        <v>172.577</v>
      </c>
      <c r="J225" s="24" t="n">
        <v>172.98</v>
      </c>
      <c r="K225" s="24" t="n">
        <v>171.014</v>
      </c>
      <c r="L225" s="25" t="n">
        <v>3.87</v>
      </c>
      <c r="M225" s="26" t="n">
        <v>40.375</v>
      </c>
      <c r="N225" s="4" t="s">
        <v>33</v>
      </c>
      <c r="O225" s="27" t="n">
        <v>3.8699</v>
      </c>
      <c r="P225" s="28" t="n">
        <f aca="false">Summary!$C$6*O225</f>
        <v>0.0193495</v>
      </c>
      <c r="Q225" s="29" t="n">
        <f aca="false">Q224*(1+P225)</f>
        <v>11244.0559312612</v>
      </c>
      <c r="R225" s="29" t="n">
        <f aca="false">MAX(R224,Q225)</f>
        <v>11864.3506047878</v>
      </c>
      <c r="S225" s="30" t="n">
        <f aca="false">Q225/R225-1</f>
        <v>-0.0522822271685357</v>
      </c>
      <c r="T225" s="31" t="n">
        <f aca="false">DATE(YEAR(F225),MONTH(F225),1)</f>
        <v>41760</v>
      </c>
    </row>
    <row r="226" customFormat="false" ht="15" hidden="false" customHeight="true" outlineLevel="0" collapsed="false">
      <c r="A226" s="4" t="n">
        <v>225</v>
      </c>
      <c r="B226" s="4" t="s">
        <v>28</v>
      </c>
      <c r="C226" s="4" t="s">
        <v>54</v>
      </c>
      <c r="D226" s="23" t="n">
        <v>41774.9166666667</v>
      </c>
      <c r="E226" s="23" t="n">
        <v>41775.5208333333</v>
      </c>
      <c r="F226" s="23" t="n">
        <v>41779.34375</v>
      </c>
      <c r="G226" s="4" t="n">
        <f aca="false">YEAR(E226)</f>
        <v>2014</v>
      </c>
      <c r="H226" s="4" t="str">
        <f aca="false">IF(E226&lt;DATE(2015,1,1),"2005–2014",IF(E226&lt;DATE(2022,3,5),"2015 – Mar 2022","Mar 2022 – Oct 2026"))</f>
        <v>2005–2014</v>
      </c>
      <c r="I226" s="24" t="n">
        <v>170.901</v>
      </c>
      <c r="J226" s="24" t="n">
        <v>171.32</v>
      </c>
      <c r="K226" s="24" t="n">
        <v>169.125</v>
      </c>
      <c r="L226" s="25" t="n">
        <v>4.235</v>
      </c>
      <c r="M226" s="26" t="n">
        <v>41.933</v>
      </c>
      <c r="N226" s="4" t="s">
        <v>35</v>
      </c>
      <c r="O226" s="27" t="n">
        <v>0.0537</v>
      </c>
      <c r="P226" s="28" t="n">
        <f aca="false">Summary!$C$6*O226</f>
        <v>0.0002685</v>
      </c>
      <c r="Q226" s="29" t="n">
        <f aca="false">Q225*(1+P226)</f>
        <v>11247.0749602787</v>
      </c>
      <c r="R226" s="29" t="n">
        <f aca="false">MAX(R225,Q226)</f>
        <v>11864.3506047878</v>
      </c>
      <c r="S226" s="30" t="n">
        <f aca="false">Q226/R226-1</f>
        <v>-0.0520277649465305</v>
      </c>
      <c r="T226" s="31" t="n">
        <f aca="false">DATE(YEAR(F226),MONTH(F226),1)</f>
        <v>41760</v>
      </c>
    </row>
    <row r="227" customFormat="false" ht="15" hidden="false" customHeight="true" outlineLevel="0" collapsed="false">
      <c r="A227" s="4" t="n">
        <v>226</v>
      </c>
      <c r="B227" s="4" t="s">
        <v>27</v>
      </c>
      <c r="C227" s="4" t="s">
        <v>54</v>
      </c>
      <c r="D227" s="23" t="n">
        <v>41779.9166666667</v>
      </c>
      <c r="E227" s="23" t="n">
        <v>41780.2083333333</v>
      </c>
      <c r="F227" s="23" t="n">
        <v>41780.3333333333</v>
      </c>
      <c r="G227" s="4" t="n">
        <f aca="false">YEAR(E227)</f>
        <v>2014</v>
      </c>
      <c r="H227" s="4" t="str">
        <f aca="false">IF(E227&lt;DATE(2015,1,1),"2005–2014",IF(E227&lt;DATE(2022,3,5),"2015 – Mar 2022","Mar 2022 – Oct 2026"))</f>
        <v>2005–2014</v>
      </c>
      <c r="I227" s="24" t="n">
        <v>170.444</v>
      </c>
      <c r="J227" s="24" t="n">
        <v>170.843</v>
      </c>
      <c r="K227" s="24" t="n">
        <v>169.123</v>
      </c>
      <c r="L227" s="25" t="n">
        <v>3.31</v>
      </c>
      <c r="M227" s="26" t="n">
        <v>39.919</v>
      </c>
      <c r="N227" s="4" t="s">
        <v>35</v>
      </c>
      <c r="O227" s="27" t="n">
        <v>0.0564</v>
      </c>
      <c r="P227" s="28" t="n">
        <f aca="false">Summary!$C$6*O227</f>
        <v>0.000282</v>
      </c>
      <c r="Q227" s="29" t="n">
        <f aca="false">Q226*(1+P227)</f>
        <v>11250.2466354175</v>
      </c>
      <c r="R227" s="29" t="n">
        <f aca="false">MAX(R226,Q227)</f>
        <v>11864.3506047878</v>
      </c>
      <c r="S227" s="30" t="n">
        <f aca="false">Q227/R227-1</f>
        <v>-0.0517604367762454</v>
      </c>
      <c r="T227" s="31" t="n">
        <f aca="false">DATE(YEAR(F227),MONTH(F227),1)</f>
        <v>41760</v>
      </c>
    </row>
    <row r="228" customFormat="false" ht="15" hidden="false" customHeight="true" outlineLevel="0" collapsed="false">
      <c r="A228" s="4" t="n">
        <v>227</v>
      </c>
      <c r="B228" s="4" t="s">
        <v>28</v>
      </c>
      <c r="C228" s="4" t="s">
        <v>53</v>
      </c>
      <c r="D228" s="23" t="n">
        <v>41780.9166666667</v>
      </c>
      <c r="E228" s="23" t="n">
        <v>41787.2916666667</v>
      </c>
      <c r="F228" s="23" t="n">
        <v>41787.53125</v>
      </c>
      <c r="G228" s="4" t="n">
        <f aca="false">YEAR(E228)</f>
        <v>2014</v>
      </c>
      <c r="H228" s="4" t="str">
        <f aca="false">IF(E228&lt;DATE(2015,1,1),"2005–2014",IF(E228&lt;DATE(2022,3,5),"2015 – Mar 2022","Mar 2022 – Oct 2026"))</f>
        <v>2005–2014</v>
      </c>
      <c r="I228" s="24" t="n">
        <v>170.744</v>
      </c>
      <c r="J228" s="24" t="n">
        <v>170.324</v>
      </c>
      <c r="K228" s="24" t="n">
        <v>172.544</v>
      </c>
      <c r="L228" s="25" t="n">
        <v>4.282</v>
      </c>
      <c r="M228" s="26" t="n">
        <v>42.02</v>
      </c>
      <c r="N228" s="4" t="s">
        <v>34</v>
      </c>
      <c r="O228" s="27" t="n">
        <v>-1.0178</v>
      </c>
      <c r="P228" s="28" t="n">
        <f aca="false">Summary!$C$6*O228</f>
        <v>-0.005089</v>
      </c>
      <c r="Q228" s="29" t="n">
        <f aca="false">Q227*(1+P228)</f>
        <v>11192.9941302899</v>
      </c>
      <c r="R228" s="29" t="n">
        <f aca="false">MAX(R227,Q228)</f>
        <v>11864.3506047878</v>
      </c>
      <c r="S228" s="30" t="n">
        <f aca="false">Q228/R228-1</f>
        <v>-0.0565860279134911</v>
      </c>
      <c r="T228" s="31" t="n">
        <f aca="false">DATE(YEAR(F228),MONTH(F228),1)</f>
        <v>41760</v>
      </c>
    </row>
    <row r="229" customFormat="false" ht="15" hidden="false" customHeight="true" outlineLevel="0" collapsed="false">
      <c r="A229" s="4" t="n">
        <v>228</v>
      </c>
      <c r="B229" s="4" t="s">
        <v>28</v>
      </c>
      <c r="C229" s="4" t="s">
        <v>54</v>
      </c>
      <c r="D229" s="23" t="n">
        <v>41787.9166666667</v>
      </c>
      <c r="E229" s="23" t="n">
        <v>41791.875</v>
      </c>
      <c r="F229" s="23" t="n">
        <v>41792.5208333333</v>
      </c>
      <c r="G229" s="4" t="n">
        <f aca="false">YEAR(E229)</f>
        <v>2014</v>
      </c>
      <c r="H229" s="4" t="str">
        <f aca="false">IF(E229&lt;DATE(2015,1,1),"2005–2014",IF(E229&lt;DATE(2022,3,5),"2015 – Mar 2022","Mar 2022 – Oct 2026"))</f>
        <v>2005–2014</v>
      </c>
      <c r="I229" s="24" t="n">
        <v>170.72</v>
      </c>
      <c r="J229" s="24" t="n">
        <v>171.112</v>
      </c>
      <c r="K229" s="24" t="n">
        <v>169.122</v>
      </c>
      <c r="L229" s="25" t="n">
        <v>4.087</v>
      </c>
      <c r="M229" s="26" t="n">
        <v>39.114</v>
      </c>
      <c r="N229" s="4" t="s">
        <v>34</v>
      </c>
      <c r="O229" s="27" t="n">
        <v>-1.0192</v>
      </c>
      <c r="P229" s="28" t="n">
        <f aca="false">Summary!$C$6*O229</f>
        <v>-0.005096</v>
      </c>
      <c r="Q229" s="29" t="n">
        <f aca="false">Q228*(1+P229)</f>
        <v>11135.9546322019</v>
      </c>
      <c r="R229" s="29" t="n">
        <f aca="false">MAX(R228,Q229)</f>
        <v>11864.3506047878</v>
      </c>
      <c r="S229" s="30" t="n">
        <f aca="false">Q229/R229-1</f>
        <v>-0.0613936655152439</v>
      </c>
      <c r="T229" s="31" t="n">
        <f aca="false">DATE(YEAR(F229),MONTH(F229),1)</f>
        <v>41791</v>
      </c>
    </row>
    <row r="230" customFormat="false" ht="15" hidden="false" customHeight="true" outlineLevel="0" collapsed="false">
      <c r="A230" s="4" t="n">
        <v>229</v>
      </c>
      <c r="B230" s="4" t="s">
        <v>27</v>
      </c>
      <c r="C230" s="4" t="s">
        <v>53</v>
      </c>
      <c r="D230" s="23" t="n">
        <v>41815.9166666667</v>
      </c>
      <c r="E230" s="23" t="n">
        <v>41816.2083333333</v>
      </c>
      <c r="F230" s="23" t="n">
        <v>41816.5625</v>
      </c>
      <c r="G230" s="4" t="n">
        <f aca="false">YEAR(E230)</f>
        <v>2014</v>
      </c>
      <c r="H230" s="4" t="str">
        <f aca="false">IF(E230&lt;DATE(2015,1,1),"2005–2014",IF(E230&lt;DATE(2022,3,5),"2015 – Mar 2022","Mar 2022 – Oct 2026"))</f>
        <v>2005–2014</v>
      </c>
      <c r="I230" s="24" t="n">
        <v>172.882</v>
      </c>
      <c r="J230" s="24" t="n">
        <v>172.553</v>
      </c>
      <c r="K230" s="24" t="n">
        <v>174.332</v>
      </c>
      <c r="L230" s="25" t="n">
        <v>4.404</v>
      </c>
      <c r="M230" s="26" t="n">
        <v>32.921</v>
      </c>
      <c r="N230" s="4" t="s">
        <v>35</v>
      </c>
      <c r="O230" s="27" t="n">
        <v>0.0683</v>
      </c>
      <c r="P230" s="28" t="n">
        <f aca="false">Summary!$C$6*O230</f>
        <v>0.0003415</v>
      </c>
      <c r="Q230" s="29" t="n">
        <f aca="false">Q229*(1+P230)</f>
        <v>11139.7575607088</v>
      </c>
      <c r="R230" s="29" t="n">
        <f aca="false">MAX(R229,Q230)</f>
        <v>11864.3506047878</v>
      </c>
      <c r="S230" s="30" t="n">
        <f aca="false">Q230/R230-1</f>
        <v>-0.0610731314520174</v>
      </c>
      <c r="T230" s="31" t="n">
        <f aca="false">DATE(YEAR(F230),MONTH(F230),1)</f>
        <v>41791</v>
      </c>
    </row>
    <row r="231" customFormat="false" ht="15" hidden="false" customHeight="true" outlineLevel="0" collapsed="false">
      <c r="A231" s="4" t="n">
        <v>230</v>
      </c>
      <c r="B231" s="4" t="s">
        <v>27</v>
      </c>
      <c r="C231" s="4" t="s">
        <v>53</v>
      </c>
      <c r="D231" s="23" t="n">
        <v>41816.9166666667</v>
      </c>
      <c r="E231" s="23" t="n">
        <v>41817.3645833333</v>
      </c>
      <c r="F231" s="23" t="n">
        <v>41817.5729166667</v>
      </c>
      <c r="G231" s="4" t="n">
        <f aca="false">YEAR(E231)</f>
        <v>2014</v>
      </c>
      <c r="H231" s="4" t="str">
        <f aca="false">IF(E231&lt;DATE(2015,1,1),"2005–2014",IF(E231&lt;DATE(2022,3,5),"2015 – Mar 2022","Mar 2022 – Oct 2026"))</f>
        <v>2005–2014</v>
      </c>
      <c r="I231" s="24" t="n">
        <v>172.814</v>
      </c>
      <c r="J231" s="24" t="n">
        <v>172.484</v>
      </c>
      <c r="K231" s="24" t="n">
        <v>174.332</v>
      </c>
      <c r="L231" s="25" t="n">
        <v>4.598</v>
      </c>
      <c r="M231" s="26" t="n">
        <v>33.006</v>
      </c>
      <c r="N231" s="4" t="s">
        <v>34</v>
      </c>
      <c r="O231" s="27" t="n">
        <v>-1.0227</v>
      </c>
      <c r="P231" s="28" t="n">
        <f aca="false">Summary!$C$6*O231</f>
        <v>-0.0051135</v>
      </c>
      <c r="Q231" s="29" t="n">
        <f aca="false">Q230*(1+P231)</f>
        <v>11082.7944104221</v>
      </c>
      <c r="R231" s="29" t="n">
        <f aca="false">MAX(R230,Q231)</f>
        <v>11864.3506047878</v>
      </c>
      <c r="S231" s="30" t="n">
        <f aca="false">Q231/R231-1</f>
        <v>-0.0658743339943375</v>
      </c>
      <c r="T231" s="31" t="n">
        <f aca="false">DATE(YEAR(F231),MONTH(F231),1)</f>
        <v>41791</v>
      </c>
    </row>
    <row r="232" customFormat="false" ht="15" hidden="false" customHeight="true" outlineLevel="0" collapsed="false">
      <c r="A232" s="4" t="n">
        <v>231</v>
      </c>
      <c r="B232" s="4" t="s">
        <v>27</v>
      </c>
      <c r="C232" s="4" t="s">
        <v>53</v>
      </c>
      <c r="D232" s="23" t="n">
        <v>41817.9166666667</v>
      </c>
      <c r="E232" s="23" t="n">
        <v>41820.28125</v>
      </c>
      <c r="F232" s="23" t="n">
        <v>41821.3541666667</v>
      </c>
      <c r="G232" s="4" t="n">
        <f aca="false">YEAR(E232)</f>
        <v>2014</v>
      </c>
      <c r="H232" s="4" t="str">
        <f aca="false">IF(E232&lt;DATE(2015,1,1),"2005–2014",IF(E232&lt;DATE(2022,3,5),"2015 – Mar 2022","Mar 2022 – Oct 2026"))</f>
        <v>2005–2014</v>
      </c>
      <c r="I232" s="24" t="n">
        <v>172.546</v>
      </c>
      <c r="J232" s="24" t="n">
        <v>172.218</v>
      </c>
      <c r="K232" s="24" t="n">
        <v>173.682</v>
      </c>
      <c r="L232" s="25" t="n">
        <v>3.468</v>
      </c>
      <c r="M232" s="26" t="n">
        <v>32.76</v>
      </c>
      <c r="N232" s="4" t="s">
        <v>33</v>
      </c>
      <c r="O232" s="27" t="n">
        <v>3.4678</v>
      </c>
      <c r="P232" s="28" t="n">
        <f aca="false">Summary!$C$6*O232</f>
        <v>0.017339</v>
      </c>
      <c r="Q232" s="29" t="n">
        <f aca="false">Q231*(1+P232)</f>
        <v>11274.9589827044</v>
      </c>
      <c r="R232" s="29" t="n">
        <f aca="false">MAX(R231,Q232)</f>
        <v>11864.3506047878</v>
      </c>
      <c r="S232" s="30" t="n">
        <f aca="false">Q232/R232-1</f>
        <v>-0.0496775290714654</v>
      </c>
      <c r="T232" s="31" t="n">
        <f aca="false">DATE(YEAR(F232),MONTH(F232),1)</f>
        <v>41821</v>
      </c>
    </row>
    <row r="233" customFormat="false" ht="15" hidden="false" customHeight="true" outlineLevel="0" collapsed="false">
      <c r="A233" s="4" t="n">
        <v>232</v>
      </c>
      <c r="B233" s="4" t="s">
        <v>28</v>
      </c>
      <c r="C233" s="4" t="s">
        <v>54</v>
      </c>
      <c r="D233" s="23" t="n">
        <v>41837.9166666667</v>
      </c>
      <c r="E233" s="23" t="n">
        <v>41838.1041666667</v>
      </c>
      <c r="F233" s="23" t="n">
        <v>41838.7916666667</v>
      </c>
      <c r="G233" s="4" t="n">
        <f aca="false">YEAR(E233)</f>
        <v>2014</v>
      </c>
      <c r="H233" s="4" t="str">
        <f aca="false">IF(E233&lt;DATE(2015,1,1),"2005–2014",IF(E233&lt;DATE(2022,3,5),"2015 – Mar 2022","Mar 2022 – Oct 2026"))</f>
        <v>2005–2014</v>
      </c>
      <c r="I233" s="24" t="n">
        <v>173.321</v>
      </c>
      <c r="J233" s="24" t="n">
        <v>173.678</v>
      </c>
      <c r="K233" s="24" t="n">
        <v>171.762</v>
      </c>
      <c r="L233" s="25" t="n">
        <v>4.372</v>
      </c>
      <c r="M233" s="26" t="n">
        <v>35.656</v>
      </c>
      <c r="N233" s="4" t="s">
        <v>35</v>
      </c>
      <c r="O233" s="27" t="n">
        <v>0.0631</v>
      </c>
      <c r="P233" s="28" t="n">
        <f aca="false">Summary!$C$6*O233</f>
        <v>0.0003155</v>
      </c>
      <c r="Q233" s="29" t="n">
        <f aca="false">Q232*(1+P233)</f>
        <v>11278.5162322635</v>
      </c>
      <c r="R233" s="29" t="n">
        <f aca="false">MAX(R232,Q233)</f>
        <v>11864.3506047878</v>
      </c>
      <c r="S233" s="30" t="n">
        <f aca="false">Q233/R233-1</f>
        <v>-0.0493777023318875</v>
      </c>
      <c r="T233" s="31" t="n">
        <f aca="false">DATE(YEAR(F233),MONTH(F233),1)</f>
        <v>41821</v>
      </c>
    </row>
    <row r="234" customFormat="false" ht="15" hidden="false" customHeight="true" outlineLevel="0" collapsed="false">
      <c r="A234" s="4" t="n">
        <v>233</v>
      </c>
      <c r="B234" s="4" t="s">
        <v>27</v>
      </c>
      <c r="C234" s="4" t="s">
        <v>53</v>
      </c>
      <c r="D234" s="23" t="n">
        <v>41838.9166666667</v>
      </c>
      <c r="E234" s="23" t="n">
        <v>41841.2604166667</v>
      </c>
      <c r="F234" s="23" t="n">
        <v>41843.375</v>
      </c>
      <c r="G234" s="4" t="n">
        <f aca="false">YEAR(E234)</f>
        <v>2014</v>
      </c>
      <c r="H234" s="4" t="str">
        <f aca="false">IF(E234&lt;DATE(2015,1,1),"2005–2014",IF(E234&lt;DATE(2022,3,5),"2015 – Mar 2022","Mar 2022 – Oct 2026"))</f>
        <v>2005–2014</v>
      </c>
      <c r="I234" s="24" t="n">
        <v>173.091</v>
      </c>
      <c r="J234" s="24" t="n">
        <v>172.733</v>
      </c>
      <c r="K234" s="24" t="n">
        <v>174.328</v>
      </c>
      <c r="L234" s="25" t="n">
        <v>3.46</v>
      </c>
      <c r="M234" s="26" t="n">
        <v>35.765</v>
      </c>
      <c r="N234" s="4" t="s">
        <v>34</v>
      </c>
      <c r="O234" s="27" t="n">
        <v>-1.021</v>
      </c>
      <c r="P234" s="28" t="n">
        <f aca="false">Summary!$C$6*O234</f>
        <v>-0.005105</v>
      </c>
      <c r="Q234" s="29" t="n">
        <f aca="false">Q233*(1+P234)</f>
        <v>11220.9394068978</v>
      </c>
      <c r="R234" s="29" t="n">
        <f aca="false">MAX(R233,Q234)</f>
        <v>11864.3506047878</v>
      </c>
      <c r="S234" s="30" t="n">
        <f aca="false">Q234/R234-1</f>
        <v>-0.0542306291614834</v>
      </c>
      <c r="T234" s="31" t="n">
        <f aca="false">DATE(YEAR(F234),MONTH(F234),1)</f>
        <v>41821</v>
      </c>
    </row>
    <row r="235" customFormat="false" ht="15" hidden="false" customHeight="true" outlineLevel="0" collapsed="false">
      <c r="A235" s="4" t="n">
        <v>234</v>
      </c>
      <c r="B235" s="4" t="s">
        <v>27</v>
      </c>
      <c r="C235" s="4" t="s">
        <v>53</v>
      </c>
      <c r="D235" s="23" t="n">
        <v>41843.9166666667</v>
      </c>
      <c r="E235" s="23" t="n">
        <v>41844.2916666667</v>
      </c>
      <c r="F235" s="23" t="n">
        <v>41852.5520833333</v>
      </c>
      <c r="G235" s="4" t="n">
        <f aca="false">YEAR(E235)</f>
        <v>2014</v>
      </c>
      <c r="H235" s="4" t="str">
        <f aca="false">IF(E235&lt;DATE(2015,1,1),"2005–2014",IF(E235&lt;DATE(2022,3,5),"2015 – Mar 2022","Mar 2022 – Oct 2026"))</f>
        <v>2005–2014</v>
      </c>
      <c r="I235" s="24" t="n">
        <v>172.853</v>
      </c>
      <c r="J235" s="24" t="n">
        <v>172.521</v>
      </c>
      <c r="K235" s="24" t="n">
        <v>174.331</v>
      </c>
      <c r="L235" s="25" t="n">
        <v>4.451</v>
      </c>
      <c r="M235" s="26" t="n">
        <v>33.214</v>
      </c>
      <c r="N235" s="4" t="s">
        <v>35</v>
      </c>
      <c r="O235" s="27" t="n">
        <v>0.0677</v>
      </c>
      <c r="P235" s="28" t="n">
        <f aca="false">Summary!$C$6*O235</f>
        <v>0.0003385</v>
      </c>
      <c r="Q235" s="29" t="n">
        <f aca="false">Q234*(1+P235)</f>
        <v>11224.737694887</v>
      </c>
      <c r="R235" s="29" t="n">
        <f aca="false">MAX(R234,Q235)</f>
        <v>11864.3506047878</v>
      </c>
      <c r="S235" s="30" t="n">
        <f aca="false">Q235/R235-1</f>
        <v>-0.0539104862294545</v>
      </c>
      <c r="T235" s="31" t="n">
        <f aca="false">DATE(YEAR(F235),MONTH(F235),1)</f>
        <v>41852</v>
      </c>
    </row>
    <row r="236" customFormat="false" ht="15" hidden="false" customHeight="true" outlineLevel="0" collapsed="false">
      <c r="A236" s="4" t="n">
        <v>235</v>
      </c>
      <c r="B236" s="4" t="s">
        <v>28</v>
      </c>
      <c r="C236" s="4" t="s">
        <v>54</v>
      </c>
      <c r="D236" s="23" t="n">
        <v>41852.9166666667</v>
      </c>
      <c r="E236" s="23" t="n">
        <v>41856.0208333333</v>
      </c>
      <c r="F236" s="23" t="n">
        <v>41856.5833333333</v>
      </c>
      <c r="G236" s="4" t="n">
        <f aca="false">YEAR(E236)</f>
        <v>2014</v>
      </c>
      <c r="H236" s="4" t="str">
        <f aca="false">IF(E236&lt;DATE(2015,1,1),"2005–2014",IF(E236&lt;DATE(2022,3,5),"2015 – Mar 2022","Mar 2022 – Oct 2026"))</f>
        <v>2005–2014</v>
      </c>
      <c r="I236" s="24" t="n">
        <v>173.012</v>
      </c>
      <c r="J236" s="24" t="n">
        <v>173.339</v>
      </c>
      <c r="K236" s="24" t="n">
        <v>171.759</v>
      </c>
      <c r="L236" s="25" t="n">
        <v>3.823</v>
      </c>
      <c r="M236" s="26" t="n">
        <v>32.764</v>
      </c>
      <c r="N236" s="4" t="s">
        <v>34</v>
      </c>
      <c r="O236" s="27" t="n">
        <v>-1.0229</v>
      </c>
      <c r="P236" s="28" t="n">
        <f aca="false">Summary!$C$6*O236</f>
        <v>-0.0051145</v>
      </c>
      <c r="Q236" s="29" t="n">
        <f aca="false">Q235*(1+P236)</f>
        <v>11167.3287739465</v>
      </c>
      <c r="R236" s="29" t="n">
        <f aca="false">MAX(R235,Q236)</f>
        <v>11864.3506047878</v>
      </c>
      <c r="S236" s="30" t="n">
        <f aca="false">Q236/R236-1</f>
        <v>-0.0587492610476339</v>
      </c>
      <c r="T236" s="31" t="n">
        <f aca="false">DATE(YEAR(F236),MONTH(F236),1)</f>
        <v>41852</v>
      </c>
    </row>
    <row r="237" customFormat="false" ht="15" hidden="false" customHeight="true" outlineLevel="0" collapsed="false">
      <c r="A237" s="4" t="n">
        <v>236</v>
      </c>
      <c r="B237" s="4" t="s">
        <v>28</v>
      </c>
      <c r="C237" s="4" t="s">
        <v>53</v>
      </c>
      <c r="D237" s="23" t="n">
        <v>41856.9166666667</v>
      </c>
      <c r="E237" s="23" t="n">
        <v>41857.34375</v>
      </c>
      <c r="F237" s="23" t="n">
        <v>41857.3645833333</v>
      </c>
      <c r="G237" s="4" t="n">
        <f aca="false">YEAR(E237)</f>
        <v>2014</v>
      </c>
      <c r="H237" s="4" t="str">
        <f aca="false">IF(E237&lt;DATE(2015,1,1),"2005–2014",IF(E237&lt;DATE(2022,3,5),"2015 – Mar 2022","Mar 2022 – Oct 2026"))</f>
        <v>2005–2014</v>
      </c>
      <c r="I237" s="24" t="n">
        <v>172.808</v>
      </c>
      <c r="J237" s="24" t="n">
        <v>172.489</v>
      </c>
      <c r="K237" s="24" t="n">
        <v>173.835</v>
      </c>
      <c r="L237" s="25" t="n">
        <v>3.219</v>
      </c>
      <c r="M237" s="26" t="n">
        <v>31.908</v>
      </c>
      <c r="N237" s="4" t="s">
        <v>34</v>
      </c>
      <c r="O237" s="27" t="n">
        <v>-1.0235</v>
      </c>
      <c r="P237" s="28" t="n">
        <f aca="false">Summary!$C$6*O237</f>
        <v>-0.0051175</v>
      </c>
      <c r="Q237" s="29" t="n">
        <f aca="false">Q236*(1+P237)</f>
        <v>11110.1799689458</v>
      </c>
      <c r="R237" s="29" t="n">
        <f aca="false">MAX(R236,Q237)</f>
        <v>11864.3506047878</v>
      </c>
      <c r="S237" s="30" t="n">
        <f aca="false">Q237/R237-1</f>
        <v>-0.0635661117042228</v>
      </c>
      <c r="T237" s="31" t="n">
        <f aca="false">DATE(YEAR(F237),MONTH(F237),1)</f>
        <v>41852</v>
      </c>
    </row>
    <row r="238" customFormat="false" ht="15" hidden="false" customHeight="true" outlineLevel="0" collapsed="false">
      <c r="A238" s="4" t="n">
        <v>237</v>
      </c>
      <c r="B238" s="4" t="s">
        <v>28</v>
      </c>
      <c r="C238" s="4" t="s">
        <v>53</v>
      </c>
      <c r="D238" s="23" t="n">
        <v>41869.9166666667</v>
      </c>
      <c r="E238" s="23" t="n">
        <v>41870.3541666667</v>
      </c>
      <c r="F238" s="23" t="n">
        <v>41870.3645833333</v>
      </c>
      <c r="G238" s="4" t="n">
        <f aca="false">YEAR(E238)</f>
        <v>2014</v>
      </c>
      <c r="H238" s="4" t="str">
        <f aca="false">IF(E238&lt;DATE(2015,1,1),"2005–2014",IF(E238&lt;DATE(2022,3,5),"2015 – Mar 2022","Mar 2022 – Oct 2026"))</f>
        <v>2005–2014</v>
      </c>
      <c r="I238" s="24" t="n">
        <v>170.748</v>
      </c>
      <c r="J238" s="24" t="n">
        <v>170.388</v>
      </c>
      <c r="K238" s="24" t="n">
        <v>171.856</v>
      </c>
      <c r="L238" s="25" t="n">
        <v>3.08</v>
      </c>
      <c r="M238" s="26" t="n">
        <v>35.984</v>
      </c>
      <c r="N238" s="4" t="s">
        <v>35</v>
      </c>
      <c r="O238" s="27" t="n">
        <v>0.0625</v>
      </c>
      <c r="P238" s="28" t="n">
        <f aca="false">Summary!$C$6*O238</f>
        <v>0.0003125</v>
      </c>
      <c r="Q238" s="29" t="n">
        <f aca="false">Q237*(1+P238)</f>
        <v>11113.6519001861</v>
      </c>
      <c r="R238" s="29" t="n">
        <f aca="false">MAX(R237,Q238)</f>
        <v>11864.3506047878</v>
      </c>
      <c r="S238" s="30" t="n">
        <f aca="false">Q238/R238-1</f>
        <v>-0.0632734761141304</v>
      </c>
      <c r="T238" s="31" t="n">
        <f aca="false">DATE(YEAR(F238),MONTH(F238),1)</f>
        <v>41852</v>
      </c>
    </row>
    <row r="239" customFormat="false" ht="15" hidden="false" customHeight="true" outlineLevel="0" collapsed="false">
      <c r="A239" s="4" t="n">
        <v>238</v>
      </c>
      <c r="B239" s="4" t="s">
        <v>27</v>
      </c>
      <c r="C239" s="4" t="s">
        <v>53</v>
      </c>
      <c r="D239" s="23" t="n">
        <v>41870.9166666667</v>
      </c>
      <c r="E239" s="23" t="n">
        <v>41870.9895833333</v>
      </c>
      <c r="F239" s="23" t="n">
        <v>41872.0520833333</v>
      </c>
      <c r="G239" s="4" t="n">
        <f aca="false">YEAR(E239)</f>
        <v>2014</v>
      </c>
      <c r="H239" s="4" t="str">
        <f aca="false">IF(E239&lt;DATE(2015,1,1),"2005–2014",IF(E239&lt;DATE(2022,3,5),"2015 – Mar 2022","Mar 2022 – Oct 2026"))</f>
        <v>2005–2014</v>
      </c>
      <c r="I239" s="24" t="n">
        <v>171.063</v>
      </c>
      <c r="J239" s="24" t="n">
        <v>170.701</v>
      </c>
      <c r="K239" s="24" t="n">
        <v>172.32</v>
      </c>
      <c r="L239" s="25" t="n">
        <v>3.475</v>
      </c>
      <c r="M239" s="26" t="n">
        <v>36.166</v>
      </c>
      <c r="N239" s="4" t="s">
        <v>33</v>
      </c>
      <c r="O239" s="27" t="n">
        <v>3.4753</v>
      </c>
      <c r="P239" s="28" t="n">
        <f aca="false">Summary!$C$6*O239</f>
        <v>0.0173765</v>
      </c>
      <c r="Q239" s="29" t="n">
        <f aca="false">Q238*(1+P239)</f>
        <v>11306.7682724297</v>
      </c>
      <c r="R239" s="29" t="n">
        <f aca="false">MAX(R238,Q239)</f>
        <v>11864.3506047878</v>
      </c>
      <c r="S239" s="30" t="n">
        <f aca="false">Q239/R239-1</f>
        <v>-0.0469964476718276</v>
      </c>
      <c r="T239" s="31" t="n">
        <f aca="false">DATE(YEAR(F239),MONTH(F239),1)</f>
        <v>41852</v>
      </c>
    </row>
    <row r="240" customFormat="false" ht="15" hidden="false" customHeight="true" outlineLevel="0" collapsed="false">
      <c r="A240" s="4" t="n">
        <v>239</v>
      </c>
      <c r="B240" s="4" t="s">
        <v>27</v>
      </c>
      <c r="C240" s="4" t="s">
        <v>54</v>
      </c>
      <c r="D240" s="23" t="n">
        <v>41873.9166666667</v>
      </c>
      <c r="E240" s="23" t="n">
        <v>41876.5833333333</v>
      </c>
      <c r="F240" s="23" t="n">
        <v>41878.4895833333</v>
      </c>
      <c r="G240" s="4" t="n">
        <f aca="false">YEAR(E240)</f>
        <v>2014</v>
      </c>
      <c r="H240" s="4" t="str">
        <f aca="false">IF(E240&lt;DATE(2015,1,1),"2005–2014",IF(E240&lt;DATE(2022,3,5),"2015 – Mar 2022","Mar 2022 – Oct 2026"))</f>
        <v>2005–2014</v>
      </c>
      <c r="I240" s="24" t="n">
        <v>172.558</v>
      </c>
      <c r="J240" s="24" t="n">
        <v>172.925</v>
      </c>
      <c r="K240" s="24" t="n">
        <v>171.293</v>
      </c>
      <c r="L240" s="25" t="n">
        <v>3.45</v>
      </c>
      <c r="M240" s="26" t="n">
        <v>36.674</v>
      </c>
      <c r="N240" s="4" t="s">
        <v>35</v>
      </c>
      <c r="O240" s="27" t="n">
        <v>0.0614</v>
      </c>
      <c r="P240" s="28" t="n">
        <f aca="false">Summary!$C$6*O240</f>
        <v>0.000307</v>
      </c>
      <c r="Q240" s="29" t="n">
        <f aca="false">Q239*(1+P240)</f>
        <v>11310.2394502893</v>
      </c>
      <c r="R240" s="29" t="n">
        <f aca="false">MAX(R239,Q240)</f>
        <v>11864.3506047878</v>
      </c>
      <c r="S240" s="30" t="n">
        <f aca="false">Q240/R240-1</f>
        <v>-0.0467038755812628</v>
      </c>
      <c r="T240" s="31" t="n">
        <f aca="false">DATE(YEAR(F240),MONTH(F240),1)</f>
        <v>41852</v>
      </c>
    </row>
    <row r="241" customFormat="false" ht="15" hidden="false" customHeight="true" outlineLevel="0" collapsed="false">
      <c r="A241" s="4" t="n">
        <v>240</v>
      </c>
      <c r="B241" s="4" t="s">
        <v>28</v>
      </c>
      <c r="C241" s="4" t="s">
        <v>54</v>
      </c>
      <c r="D241" s="23" t="n">
        <v>41890.9166666667</v>
      </c>
      <c r="E241" s="23" t="n">
        <v>41891.1041666667</v>
      </c>
      <c r="F241" s="23" t="n">
        <v>41891.34375</v>
      </c>
      <c r="G241" s="4" t="n">
        <f aca="false">YEAR(E241)</f>
        <v>2014</v>
      </c>
      <c r="H241" s="4" t="str">
        <f aca="false">IF(E241&lt;DATE(2015,1,1),"2005–2014",IF(E241&lt;DATE(2022,3,5),"2015 – Mar 2022","Mar 2022 – Oct 2026"))</f>
        <v>2005–2014</v>
      </c>
      <c r="I241" s="24" t="n">
        <v>170.858</v>
      </c>
      <c r="J241" s="24" t="n">
        <v>171.255</v>
      </c>
      <c r="K241" s="24" t="n">
        <v>169.122</v>
      </c>
      <c r="L241" s="25" t="n">
        <v>4.366</v>
      </c>
      <c r="M241" s="26" t="n">
        <v>39.746</v>
      </c>
      <c r="N241" s="4" t="s">
        <v>34</v>
      </c>
      <c r="O241" s="27" t="n">
        <v>-1.0189</v>
      </c>
      <c r="P241" s="28" t="n">
        <f aca="false">Summary!$C$6*O241</f>
        <v>-0.0050945</v>
      </c>
      <c r="Q241" s="29" t="n">
        <f aca="false">Q240*(1+P241)</f>
        <v>11252.6194354098</v>
      </c>
      <c r="R241" s="29" t="n">
        <f aca="false">MAX(R240,Q241)</f>
        <v>11864.3506047878</v>
      </c>
      <c r="S241" s="30" t="n">
        <f aca="false">Q241/R241-1</f>
        <v>-0.0515604426871141</v>
      </c>
      <c r="T241" s="31" t="n">
        <f aca="false">DATE(YEAR(F241),MONTH(F241),1)</f>
        <v>41883</v>
      </c>
    </row>
    <row r="242" customFormat="false" ht="15" hidden="false" customHeight="true" outlineLevel="0" collapsed="false">
      <c r="A242" s="4" t="n">
        <v>241</v>
      </c>
      <c r="B242" s="4" t="s">
        <v>28</v>
      </c>
      <c r="C242" s="4" t="s">
        <v>54</v>
      </c>
      <c r="D242" s="23" t="n">
        <v>41933.9166666667</v>
      </c>
      <c r="E242" s="23" t="n">
        <v>41935.59375</v>
      </c>
      <c r="F242" s="23" t="n">
        <v>41936.3645833333</v>
      </c>
      <c r="G242" s="4" t="n">
        <f aca="false">YEAR(E242)</f>
        <v>2014</v>
      </c>
      <c r="H242" s="4" t="str">
        <f aca="false">IF(E242&lt;DATE(2015,1,1),"2005–2014",IF(E242&lt;DATE(2022,3,5),"2015 – Mar 2022","Mar 2022 – Oct 2026"))</f>
        <v>2005–2014</v>
      </c>
      <c r="I242" s="24" t="n">
        <v>173.149</v>
      </c>
      <c r="J242" s="24" t="n">
        <v>173.795</v>
      </c>
      <c r="K242" s="24" t="n">
        <v>171.044</v>
      </c>
      <c r="L242" s="25" t="n">
        <v>3.259</v>
      </c>
      <c r="M242" s="26" t="n">
        <v>64.596</v>
      </c>
      <c r="N242" s="4" t="s">
        <v>34</v>
      </c>
      <c r="O242" s="27" t="n">
        <v>-1.0116</v>
      </c>
      <c r="P242" s="28" t="n">
        <f aca="false">Summary!$C$6*O242</f>
        <v>-0.005058</v>
      </c>
      <c r="Q242" s="29" t="n">
        <f aca="false">Q241*(1+P242)</f>
        <v>11195.7036863055</v>
      </c>
      <c r="R242" s="29" t="n">
        <f aca="false">MAX(R241,Q242)</f>
        <v>11864.3506047878</v>
      </c>
      <c r="S242" s="30" t="n">
        <f aca="false">Q242/R242-1</f>
        <v>-0.0563576499680026</v>
      </c>
      <c r="T242" s="31" t="n">
        <f aca="false">DATE(YEAR(F242),MONTH(F242),1)</f>
        <v>41913</v>
      </c>
    </row>
    <row r="243" customFormat="false" ht="15" hidden="false" customHeight="true" outlineLevel="0" collapsed="false">
      <c r="A243" s="4" t="n">
        <v>242</v>
      </c>
      <c r="B243" s="4" t="s">
        <v>27</v>
      </c>
      <c r="C243" s="4" t="s">
        <v>53</v>
      </c>
      <c r="D243" s="23" t="n">
        <v>41936.9166666667</v>
      </c>
      <c r="E243" s="23" t="n">
        <v>41939.1666666667</v>
      </c>
      <c r="F243" s="23" t="n">
        <v>41943.2708333333</v>
      </c>
      <c r="G243" s="4" t="n">
        <f aca="false">YEAR(E243)</f>
        <v>2014</v>
      </c>
      <c r="H243" s="4" t="str">
        <f aca="false">IF(E243&lt;DATE(2015,1,1),"2005–2014",IF(E243&lt;DATE(2022,3,5),"2015 – Mar 2022","Mar 2022 – Oct 2026"))</f>
        <v>2005–2014</v>
      </c>
      <c r="I243" s="24" t="n">
        <v>173.924</v>
      </c>
      <c r="J243" s="24" t="n">
        <v>173.284</v>
      </c>
      <c r="K243" s="24" t="n">
        <v>177.372</v>
      </c>
      <c r="L243" s="25" t="n">
        <v>5.386</v>
      </c>
      <c r="M243" s="26" t="n">
        <v>64.015</v>
      </c>
      <c r="N243" s="4" t="s">
        <v>33</v>
      </c>
      <c r="O243" s="27" t="n">
        <v>5.3861</v>
      </c>
      <c r="P243" s="28" t="n">
        <f aca="false">Summary!$C$6*O243</f>
        <v>0.0269305</v>
      </c>
      <c r="Q243" s="29" t="n">
        <f aca="false">Q242*(1+P243)</f>
        <v>11497.2095844296</v>
      </c>
      <c r="R243" s="29" t="n">
        <f aca="false">MAX(R242,Q243)</f>
        <v>11864.3506047878</v>
      </c>
      <c r="S243" s="30" t="n">
        <f aca="false">Q243/R243-1</f>
        <v>-0.0309448896604659</v>
      </c>
      <c r="T243" s="31" t="n">
        <f aca="false">DATE(YEAR(F243),MONTH(F243),1)</f>
        <v>41913</v>
      </c>
    </row>
    <row r="244" customFormat="false" ht="15" hidden="false" customHeight="true" outlineLevel="0" collapsed="false">
      <c r="A244" s="4" t="n">
        <v>243</v>
      </c>
      <c r="B244" s="4" t="s">
        <v>27</v>
      </c>
      <c r="C244" s="4" t="s">
        <v>54</v>
      </c>
      <c r="D244" s="23" t="n">
        <v>42039.9166666667</v>
      </c>
      <c r="E244" s="23" t="n">
        <v>42040.0416666667</v>
      </c>
      <c r="F244" s="23" t="n">
        <v>42040.375</v>
      </c>
      <c r="G244" s="4" t="n">
        <f aca="false">YEAR(E244)</f>
        <v>2015</v>
      </c>
      <c r="H244" s="4" t="str">
        <f aca="false">IF(E244&lt;DATE(2015,1,1),"2005–2014",IF(E244&lt;DATE(2022,3,5),"2015 – Mar 2022","Mar 2022 – Oct 2026"))</f>
        <v>2015 – Mar 2022</v>
      </c>
      <c r="I244" s="24" t="n">
        <v>177.801</v>
      </c>
      <c r="J244" s="24" t="n">
        <v>178.645</v>
      </c>
      <c r="K244" s="24" t="n">
        <v>173.977</v>
      </c>
      <c r="L244" s="25" t="n">
        <v>4.529</v>
      </c>
      <c r="M244" s="26" t="n">
        <v>84.434</v>
      </c>
      <c r="N244" s="4" t="s">
        <v>34</v>
      </c>
      <c r="O244" s="27" t="n">
        <v>-1.0089</v>
      </c>
      <c r="P244" s="28" t="n">
        <f aca="false">Summary!$C$6*O244</f>
        <v>-0.0050445</v>
      </c>
      <c r="Q244" s="29" t="n">
        <f aca="false">Q243*(1+P244)</f>
        <v>11439.2119106809</v>
      </c>
      <c r="R244" s="29" t="n">
        <f aca="false">MAX(R243,Q244)</f>
        <v>11864.3506047878</v>
      </c>
      <c r="S244" s="30" t="n">
        <f aca="false">Q244/R244-1</f>
        <v>-0.0358332881645738</v>
      </c>
      <c r="T244" s="31" t="n">
        <f aca="false">DATE(YEAR(F244),MONTH(F244),1)</f>
        <v>42036</v>
      </c>
    </row>
    <row r="245" customFormat="false" ht="15" hidden="false" customHeight="true" outlineLevel="0" collapsed="false">
      <c r="A245" s="4" t="n">
        <v>244</v>
      </c>
      <c r="B245" s="4" t="s">
        <v>28</v>
      </c>
      <c r="C245" s="4" t="s">
        <v>54</v>
      </c>
      <c r="D245" s="23" t="n">
        <v>42051.9166666667</v>
      </c>
      <c r="E245" s="23" t="n">
        <v>42052.75</v>
      </c>
      <c r="F245" s="23" t="n">
        <v>42053.4166666667</v>
      </c>
      <c r="G245" s="4" t="n">
        <f aca="false">YEAR(E245)</f>
        <v>2015</v>
      </c>
      <c r="H245" s="4" t="str">
        <f aca="false">IF(E245&lt;DATE(2015,1,1),"2005–2014",IF(E245&lt;DATE(2022,3,5),"2015 – Mar 2022","Mar 2022 – Oct 2026"))</f>
        <v>2015 – Mar 2022</v>
      </c>
      <c r="I245" s="24" t="n">
        <v>183.155</v>
      </c>
      <c r="J245" s="24" t="n">
        <v>183.981</v>
      </c>
      <c r="K245" s="24" t="n">
        <v>180.055</v>
      </c>
      <c r="L245" s="25" t="n">
        <v>3.753</v>
      </c>
      <c r="M245" s="26" t="n">
        <v>82.611</v>
      </c>
      <c r="N245" s="4" t="s">
        <v>34</v>
      </c>
      <c r="O245" s="27" t="n">
        <v>-1.0091</v>
      </c>
      <c r="P245" s="28" t="n">
        <f aca="false">Summary!$C$6*O245</f>
        <v>-0.0050455</v>
      </c>
      <c r="Q245" s="29" t="n">
        <f aca="false">Q244*(1+P245)</f>
        <v>11381.4953669856</v>
      </c>
      <c r="R245" s="29" t="n">
        <f aca="false">MAX(R244,Q245)</f>
        <v>11864.3506047878</v>
      </c>
      <c r="S245" s="30" t="n">
        <f aca="false">Q245/R245-1</f>
        <v>-0.0406979913091395</v>
      </c>
      <c r="T245" s="31" t="n">
        <f aca="false">DATE(YEAR(F245),MONTH(F245),1)</f>
        <v>42036</v>
      </c>
    </row>
    <row r="246" customFormat="false" ht="15" hidden="false" customHeight="true" outlineLevel="0" collapsed="false">
      <c r="A246" s="4" t="n">
        <v>245</v>
      </c>
      <c r="B246" s="4" t="s">
        <v>27</v>
      </c>
      <c r="C246" s="4" t="s">
        <v>54</v>
      </c>
      <c r="D246" s="23" t="n">
        <v>42053.9166666667</v>
      </c>
      <c r="E246" s="23" t="n">
        <v>42054.09375</v>
      </c>
      <c r="F246" s="23" t="n">
        <v>42054.5</v>
      </c>
      <c r="G246" s="4" t="n">
        <f aca="false">YEAR(E246)</f>
        <v>2015</v>
      </c>
      <c r="H246" s="4" t="str">
        <f aca="false">IF(E246&lt;DATE(2015,1,1),"2005–2014",IF(E246&lt;DATE(2022,3,5),"2015 – Mar 2022","Mar 2022 – Oct 2026"))</f>
        <v>2015 – Mar 2022</v>
      </c>
      <c r="I246" s="24" t="n">
        <v>183.17</v>
      </c>
      <c r="J246" s="24" t="n">
        <v>183.979</v>
      </c>
      <c r="K246" s="24" t="n">
        <v>180.053</v>
      </c>
      <c r="L246" s="25" t="n">
        <v>3.853</v>
      </c>
      <c r="M246" s="26" t="n">
        <v>80.91</v>
      </c>
      <c r="N246" s="4" t="s">
        <v>34</v>
      </c>
      <c r="O246" s="27" t="n">
        <v>-1.0093</v>
      </c>
      <c r="P246" s="28" t="n">
        <f aca="false">Summary!$C$6*O246</f>
        <v>-0.0050465</v>
      </c>
      <c r="Q246" s="29" t="n">
        <f aca="false">Q245*(1+P246)</f>
        <v>11324.0586506161</v>
      </c>
      <c r="R246" s="29" t="n">
        <f aca="false">MAX(R245,Q246)</f>
        <v>11864.3506047878</v>
      </c>
      <c r="S246" s="30" t="n">
        <f aca="false">Q246/R246-1</f>
        <v>-0.0455391088959979</v>
      </c>
      <c r="T246" s="31" t="n">
        <f aca="false">DATE(YEAR(F246),MONTH(F246),1)</f>
        <v>42036</v>
      </c>
    </row>
    <row r="247" customFormat="false" ht="15" hidden="false" customHeight="true" outlineLevel="0" collapsed="false">
      <c r="A247" s="4" t="n">
        <v>246</v>
      </c>
      <c r="B247" s="4" t="s">
        <v>27</v>
      </c>
      <c r="C247" s="4" t="s">
        <v>54</v>
      </c>
      <c r="D247" s="23" t="n">
        <v>42054.9166666667</v>
      </c>
      <c r="E247" s="23" t="n">
        <v>42055.15625</v>
      </c>
      <c r="F247" s="23" t="n">
        <v>42055.8333333333</v>
      </c>
      <c r="G247" s="4" t="n">
        <f aca="false">YEAR(E247)</f>
        <v>2015</v>
      </c>
      <c r="H247" s="4" t="str">
        <f aca="false">IF(E247&lt;DATE(2015,1,1),"2005–2014",IF(E247&lt;DATE(2022,3,5),"2015 – Mar 2022","Mar 2022 – Oct 2026"))</f>
        <v>2015 – Mar 2022</v>
      </c>
      <c r="I247" s="24" t="n">
        <v>183.41</v>
      </c>
      <c r="J247" s="24" t="n">
        <v>184.191</v>
      </c>
      <c r="K247" s="24" t="n">
        <v>180.049</v>
      </c>
      <c r="L247" s="25" t="n">
        <v>4.305</v>
      </c>
      <c r="M247" s="26" t="n">
        <v>78.065</v>
      </c>
      <c r="N247" s="4" t="s">
        <v>35</v>
      </c>
      <c r="O247" s="27" t="n">
        <v>0.0288</v>
      </c>
      <c r="P247" s="28" t="n">
        <f aca="false">Summary!$C$6*O247</f>
        <v>0.000144</v>
      </c>
      <c r="Q247" s="29" t="n">
        <f aca="false">Q246*(1+P247)</f>
        <v>11325.6893150618</v>
      </c>
      <c r="R247" s="29" t="n">
        <f aca="false">MAX(R246,Q247)</f>
        <v>11864.3506047878</v>
      </c>
      <c r="S247" s="30" t="n">
        <f aca="false">Q247/R247-1</f>
        <v>-0.0454016665276791</v>
      </c>
      <c r="T247" s="31" t="n">
        <f aca="false">DATE(YEAR(F247),MONTH(F247),1)</f>
        <v>42036</v>
      </c>
    </row>
    <row r="248" customFormat="false" ht="15" hidden="false" customHeight="true" outlineLevel="0" collapsed="false">
      <c r="A248" s="4" t="n">
        <v>247</v>
      </c>
      <c r="B248" s="4" t="s">
        <v>27</v>
      </c>
      <c r="C248" s="4" t="s">
        <v>53</v>
      </c>
      <c r="D248" s="23" t="n">
        <v>42055.9166666667</v>
      </c>
      <c r="E248" s="23" t="n">
        <v>42058.2395833333</v>
      </c>
      <c r="F248" s="23" t="n">
        <v>42067.6041666667</v>
      </c>
      <c r="G248" s="4" t="n">
        <f aca="false">YEAR(E248)</f>
        <v>2015</v>
      </c>
      <c r="H248" s="4" t="str">
        <f aca="false">IF(E248&lt;DATE(2015,1,1),"2005–2014",IF(E248&lt;DATE(2022,3,5),"2015 – Mar 2022","Mar 2022 – Oct 2026"))</f>
        <v>2015 – Mar 2022</v>
      </c>
      <c r="I248" s="24" t="n">
        <v>183.024</v>
      </c>
      <c r="J248" s="24" t="n">
        <v>182.24</v>
      </c>
      <c r="K248" s="24" t="n">
        <v>187.319</v>
      </c>
      <c r="L248" s="25" t="n">
        <v>5.482</v>
      </c>
      <c r="M248" s="26" t="n">
        <v>78.355</v>
      </c>
      <c r="N248" s="4" t="s">
        <v>35</v>
      </c>
      <c r="O248" s="27" t="n">
        <v>0.0287</v>
      </c>
      <c r="P248" s="28" t="n">
        <f aca="false">Summary!$C$6*O248</f>
        <v>0.0001435</v>
      </c>
      <c r="Q248" s="29" t="n">
        <f aca="false">Q247*(1+P248)</f>
        <v>11327.3145514785</v>
      </c>
      <c r="R248" s="29" t="n">
        <f aca="false">MAX(R247,Q248)</f>
        <v>11864.3506047878</v>
      </c>
      <c r="S248" s="30" t="n">
        <f aca="false">Q248/R248-1</f>
        <v>-0.0452646816668257</v>
      </c>
      <c r="T248" s="31" t="n">
        <f aca="false">DATE(YEAR(F248),MONTH(F248),1)</f>
        <v>42064</v>
      </c>
    </row>
    <row r="249" customFormat="false" ht="15" hidden="false" customHeight="true" outlineLevel="0" collapsed="false">
      <c r="A249" s="4" t="n">
        <v>248</v>
      </c>
      <c r="B249" s="4" t="s">
        <v>28</v>
      </c>
      <c r="C249" s="4" t="s">
        <v>54</v>
      </c>
      <c r="D249" s="23" t="n">
        <v>42067.9166666667</v>
      </c>
      <c r="E249" s="23" t="n">
        <v>42068.4583333333</v>
      </c>
      <c r="F249" s="23" t="n">
        <v>42072.6979166667</v>
      </c>
      <c r="G249" s="4" t="n">
        <f aca="false">YEAR(E249)</f>
        <v>2015</v>
      </c>
      <c r="H249" s="4" t="str">
        <f aca="false">IF(E249&lt;DATE(2015,1,1),"2005–2014",IF(E249&lt;DATE(2022,3,5),"2015 – Mar 2022","Mar 2022 – Oct 2026"))</f>
        <v>2015 – Mar 2022</v>
      </c>
      <c r="I249" s="24" t="n">
        <v>183.348</v>
      </c>
      <c r="J249" s="24" t="n">
        <v>184.011</v>
      </c>
      <c r="K249" s="24" t="n">
        <v>180.035</v>
      </c>
      <c r="L249" s="25" t="n">
        <v>5.001</v>
      </c>
      <c r="M249" s="26" t="n">
        <v>66.261</v>
      </c>
      <c r="N249" s="4" t="s">
        <v>35</v>
      </c>
      <c r="O249" s="27" t="n">
        <v>0.034</v>
      </c>
      <c r="P249" s="28" t="n">
        <f aca="false">Summary!$C$6*O249</f>
        <v>0.00017</v>
      </c>
      <c r="Q249" s="29" t="n">
        <f aca="false">Q248*(1+P249)</f>
        <v>11329.2401949522</v>
      </c>
      <c r="R249" s="29" t="n">
        <f aca="false">MAX(R248,Q249)</f>
        <v>11864.3506047878</v>
      </c>
      <c r="S249" s="30" t="n">
        <f aca="false">Q249/R249-1</f>
        <v>-0.0451023766627091</v>
      </c>
      <c r="T249" s="31" t="n">
        <f aca="false">DATE(YEAR(F249),MONTH(F249),1)</f>
        <v>42064</v>
      </c>
    </row>
    <row r="250" customFormat="false" ht="15" hidden="false" customHeight="true" outlineLevel="0" collapsed="false">
      <c r="A250" s="4" t="n">
        <v>249</v>
      </c>
      <c r="B250" s="4" t="s">
        <v>28</v>
      </c>
      <c r="C250" s="4" t="s">
        <v>53</v>
      </c>
      <c r="D250" s="23" t="n">
        <v>42081.9166666667</v>
      </c>
      <c r="E250" s="23" t="n">
        <v>42082.3125</v>
      </c>
      <c r="F250" s="23" t="n">
        <v>42082.5729166667</v>
      </c>
      <c r="G250" s="4" t="n">
        <f aca="false">YEAR(E250)</f>
        <v>2015</v>
      </c>
      <c r="H250" s="4" t="str">
        <f aca="false">IF(E250&lt;DATE(2015,1,1),"2005–2014",IF(E250&lt;DATE(2022,3,5),"2015 – Mar 2022","Mar 2022 – Oct 2026"))</f>
        <v>2015 – Mar 2022</v>
      </c>
      <c r="I250" s="24" t="n">
        <v>179.177</v>
      </c>
      <c r="J250" s="24" t="n">
        <v>178.414</v>
      </c>
      <c r="K250" s="24" t="n">
        <v>181.776</v>
      </c>
      <c r="L250" s="25" t="n">
        <v>3.403</v>
      </c>
      <c r="M250" s="26" t="n">
        <v>76.364</v>
      </c>
      <c r="N250" s="4" t="s">
        <v>34</v>
      </c>
      <c r="O250" s="27" t="n">
        <v>-1.0098</v>
      </c>
      <c r="P250" s="28" t="n">
        <f aca="false">Summary!$C$6*O250</f>
        <v>-0.005049</v>
      </c>
      <c r="Q250" s="29" t="n">
        <f aca="false">Q249*(1+P250)</f>
        <v>11272.0388612079</v>
      </c>
      <c r="R250" s="29" t="n">
        <f aca="false">MAX(R249,Q250)</f>
        <v>11864.3506047878</v>
      </c>
      <c r="S250" s="30" t="n">
        <f aca="false">Q250/R250-1</f>
        <v>-0.049923654762939</v>
      </c>
      <c r="T250" s="31" t="n">
        <f aca="false">DATE(YEAR(F250),MONTH(F250),1)</f>
        <v>42064</v>
      </c>
    </row>
    <row r="251" customFormat="false" ht="15" hidden="false" customHeight="true" outlineLevel="0" collapsed="false">
      <c r="A251" s="4" t="n">
        <v>250</v>
      </c>
      <c r="B251" s="4" t="s">
        <v>28</v>
      </c>
      <c r="C251" s="4" t="s">
        <v>54</v>
      </c>
      <c r="D251" s="23" t="n">
        <v>42082.9166666667</v>
      </c>
      <c r="E251" s="23" t="n">
        <v>42083.5</v>
      </c>
      <c r="F251" s="23" t="n">
        <v>42083.5416666667</v>
      </c>
      <c r="G251" s="4" t="n">
        <f aca="false">YEAR(E251)</f>
        <v>2015</v>
      </c>
      <c r="H251" s="4" t="str">
        <f aca="false">IF(E251&lt;DATE(2015,1,1),"2005–2014",IF(E251&lt;DATE(2022,3,5),"2015 – Mar 2022","Mar 2022 – Oct 2026"))</f>
        <v>2015 – Mar 2022</v>
      </c>
      <c r="I251" s="24" t="n">
        <v>178.841</v>
      </c>
      <c r="J251" s="24" t="n">
        <v>179.614</v>
      </c>
      <c r="K251" s="24" t="n">
        <v>176.498</v>
      </c>
      <c r="L251" s="25" t="n">
        <v>3.03</v>
      </c>
      <c r="M251" s="26" t="n">
        <v>77.306</v>
      </c>
      <c r="N251" s="4" t="s">
        <v>34</v>
      </c>
      <c r="O251" s="27" t="n">
        <v>-1.0097</v>
      </c>
      <c r="P251" s="28" t="n">
        <f aca="false">Summary!$C$6*O251</f>
        <v>-0.0050485</v>
      </c>
      <c r="Q251" s="29" t="n">
        <f aca="false">Q250*(1+P251)</f>
        <v>11215.1319730171</v>
      </c>
      <c r="R251" s="29" t="n">
        <f aca="false">MAX(R250,Q251)</f>
        <v>11864.3506047878</v>
      </c>
      <c r="S251" s="30" t="n">
        <f aca="false">Q251/R251-1</f>
        <v>-0.0547201151918683</v>
      </c>
      <c r="T251" s="31" t="n">
        <f aca="false">DATE(YEAR(F251),MONTH(F251),1)</f>
        <v>42064</v>
      </c>
    </row>
    <row r="252" customFormat="false" ht="15" hidden="false" customHeight="true" outlineLevel="0" collapsed="false">
      <c r="A252" s="4" t="n">
        <v>251</v>
      </c>
      <c r="B252" s="4" t="s">
        <v>28</v>
      </c>
      <c r="C252" s="4" t="s">
        <v>53</v>
      </c>
      <c r="D252" s="23" t="n">
        <v>42083.9166666667</v>
      </c>
      <c r="E252" s="23" t="n">
        <v>42086.28125</v>
      </c>
      <c r="F252" s="23" t="n">
        <v>42087.40625</v>
      </c>
      <c r="G252" s="4" t="n">
        <f aca="false">YEAR(E252)</f>
        <v>2015</v>
      </c>
      <c r="H252" s="4" t="str">
        <f aca="false">IF(E252&lt;DATE(2015,1,1),"2005–2014",IF(E252&lt;DATE(2022,3,5),"2015 – Mar 2022","Mar 2022 – Oct 2026"))</f>
        <v>2015 – Mar 2022</v>
      </c>
      <c r="I252" s="24" t="n">
        <v>178.837</v>
      </c>
      <c r="J252" s="24" t="n">
        <v>178.056</v>
      </c>
      <c r="K252" s="24" t="n">
        <v>181.774</v>
      </c>
      <c r="L252" s="25" t="n">
        <v>3.761</v>
      </c>
      <c r="M252" s="26" t="n">
        <v>78.086</v>
      </c>
      <c r="N252" s="4" t="s">
        <v>34</v>
      </c>
      <c r="O252" s="27" t="n">
        <v>-1.0096</v>
      </c>
      <c r="P252" s="28" t="n">
        <f aca="false">Summary!$C$6*O252</f>
        <v>-0.005048</v>
      </c>
      <c r="Q252" s="29" t="n">
        <f aca="false">Q251*(1+P252)</f>
        <v>11158.5179868173</v>
      </c>
      <c r="R252" s="29" t="n">
        <f aca="false">MAX(R251,Q252)</f>
        <v>11864.3506047878</v>
      </c>
      <c r="S252" s="30" t="n">
        <f aca="false">Q252/R252-1</f>
        <v>-0.0594918880503798</v>
      </c>
      <c r="T252" s="31" t="n">
        <f aca="false">DATE(YEAR(F252),MONTH(F252),1)</f>
        <v>42064</v>
      </c>
    </row>
    <row r="253" customFormat="false" ht="15" hidden="false" customHeight="true" outlineLevel="0" collapsed="false">
      <c r="A253" s="4" t="n">
        <v>252</v>
      </c>
      <c r="B253" s="4" t="s">
        <v>27</v>
      </c>
      <c r="C253" s="4" t="s">
        <v>53</v>
      </c>
      <c r="D253" s="23" t="n">
        <v>42097.9166666667</v>
      </c>
      <c r="E253" s="23" t="n">
        <v>42103.59375</v>
      </c>
      <c r="F253" s="23" t="n">
        <v>42104.3125</v>
      </c>
      <c r="G253" s="4" t="n">
        <f aca="false">YEAR(E253)</f>
        <v>2015</v>
      </c>
      <c r="H253" s="4" t="str">
        <f aca="false">IF(E253&lt;DATE(2015,1,1),"2005–2014",IF(E253&lt;DATE(2022,3,5),"2015 – Mar 2022","Mar 2022 – Oct 2026"))</f>
        <v>2015 – Mar 2022</v>
      </c>
      <c r="I253" s="24" t="n">
        <v>177.506</v>
      </c>
      <c r="J253" s="24" t="n">
        <v>176.853</v>
      </c>
      <c r="K253" s="24" t="n">
        <v>179.874</v>
      </c>
      <c r="L253" s="25" t="n">
        <v>3.627</v>
      </c>
      <c r="M253" s="26" t="n">
        <v>65.292</v>
      </c>
      <c r="N253" s="4" t="s">
        <v>34</v>
      </c>
      <c r="O253" s="27" t="n">
        <v>-1.0115</v>
      </c>
      <c r="P253" s="28" t="n">
        <f aca="false">Summary!$C$6*O253</f>
        <v>-0.0050575</v>
      </c>
      <c r="Q253" s="29" t="n">
        <f aca="false">Q252*(1+P253)</f>
        <v>11102.083782099</v>
      </c>
      <c r="R253" s="29" t="n">
        <f aca="false">MAX(R252,Q253)</f>
        <v>11864.3506047878</v>
      </c>
      <c r="S253" s="30" t="n">
        <f aca="false">Q253/R253-1</f>
        <v>-0.064248507826565</v>
      </c>
      <c r="T253" s="31" t="n">
        <f aca="false">DATE(YEAR(F253),MONTH(F253),1)</f>
        <v>42095</v>
      </c>
    </row>
    <row r="254" customFormat="false" ht="15" hidden="false" customHeight="true" outlineLevel="0" collapsed="false">
      <c r="A254" s="4" t="n">
        <v>253</v>
      </c>
      <c r="B254" s="4" t="s">
        <v>28</v>
      </c>
      <c r="C254" s="4" t="s">
        <v>54</v>
      </c>
      <c r="D254" s="23" t="n">
        <v>42104.9166666667</v>
      </c>
      <c r="E254" s="23" t="n">
        <v>42107.375</v>
      </c>
      <c r="F254" s="23" t="n">
        <v>42107.625</v>
      </c>
      <c r="G254" s="4" t="n">
        <f aca="false">YEAR(E254)</f>
        <v>2015</v>
      </c>
      <c r="H254" s="4" t="str">
        <f aca="false">IF(E254&lt;DATE(2015,1,1),"2005–2014",IF(E254&lt;DATE(2022,3,5),"2015 – Mar 2022","Mar 2022 – Oct 2026"))</f>
        <v>2015 – Mar 2022</v>
      </c>
      <c r="I254" s="24" t="n">
        <v>176.42</v>
      </c>
      <c r="J254" s="24" t="n">
        <v>177.076</v>
      </c>
      <c r="K254" s="24" t="n">
        <v>173.954</v>
      </c>
      <c r="L254" s="25" t="n">
        <v>3.759</v>
      </c>
      <c r="M254" s="26" t="n">
        <v>65.607</v>
      </c>
      <c r="N254" s="4" t="s">
        <v>35</v>
      </c>
      <c r="O254" s="27" t="n">
        <v>0.0343</v>
      </c>
      <c r="P254" s="28" t="n">
        <f aca="false">Summary!$C$6*O254</f>
        <v>0.0001715</v>
      </c>
      <c r="Q254" s="29" t="n">
        <f aca="false">Q253*(1+P254)</f>
        <v>11103.9877894676</v>
      </c>
      <c r="R254" s="29" t="n">
        <f aca="false">MAX(R253,Q254)</f>
        <v>11864.3506047878</v>
      </c>
      <c r="S254" s="30" t="n">
        <f aca="false">Q254/R254-1</f>
        <v>-0.0640880264456573</v>
      </c>
      <c r="T254" s="31" t="n">
        <f aca="false">DATE(YEAR(F254),MONTH(F254),1)</f>
        <v>42095</v>
      </c>
    </row>
    <row r="255" customFormat="false" ht="15" hidden="false" customHeight="true" outlineLevel="0" collapsed="false">
      <c r="A255" s="4" t="n">
        <v>254</v>
      </c>
      <c r="B255" s="4" t="s">
        <v>28</v>
      </c>
      <c r="C255" s="4" t="s">
        <v>53</v>
      </c>
      <c r="D255" s="23" t="n">
        <v>42123.9166666667</v>
      </c>
      <c r="E255" s="23" t="n">
        <v>42124.1666666667</v>
      </c>
      <c r="F255" s="23" t="n">
        <v>42124.4166666667</v>
      </c>
      <c r="G255" s="4" t="n">
        <f aca="false">YEAR(E255)</f>
        <v>2015</v>
      </c>
      <c r="H255" s="4" t="str">
        <f aca="false">IF(E255&lt;DATE(2015,1,1),"2005–2014",IF(E255&lt;DATE(2022,3,5),"2015 – Mar 2022","Mar 2022 – Oct 2026"))</f>
        <v>2015 – Mar 2022</v>
      </c>
      <c r="I255" s="24" t="n">
        <v>183.13</v>
      </c>
      <c r="J255" s="24" t="n">
        <v>182.504</v>
      </c>
      <c r="K255" s="24" t="n">
        <v>187.339</v>
      </c>
      <c r="L255" s="25" t="n">
        <v>6.717</v>
      </c>
      <c r="M255" s="26" t="n">
        <v>62.648</v>
      </c>
      <c r="N255" s="4" t="s">
        <v>35</v>
      </c>
      <c r="O255" s="27" t="n">
        <v>0.0359</v>
      </c>
      <c r="P255" s="28" t="n">
        <f aca="false">Summary!$C$6*O255</f>
        <v>0.0001795</v>
      </c>
      <c r="Q255" s="29" t="n">
        <f aca="false">Q254*(1+P255)</f>
        <v>11105.9809552758</v>
      </c>
      <c r="R255" s="29" t="n">
        <f aca="false">MAX(R254,Q255)</f>
        <v>11864.3506047878</v>
      </c>
      <c r="S255" s="30" t="n">
        <f aca="false">Q255/R255-1</f>
        <v>-0.0639200302464043</v>
      </c>
      <c r="T255" s="31" t="n">
        <f aca="false">DATE(YEAR(F255),MONTH(F255),1)</f>
        <v>42095</v>
      </c>
    </row>
    <row r="256" customFormat="false" ht="15" hidden="false" customHeight="true" outlineLevel="0" collapsed="false">
      <c r="A256" s="4" t="n">
        <v>255</v>
      </c>
      <c r="B256" s="4" t="s">
        <v>27</v>
      </c>
      <c r="C256" s="4" t="s">
        <v>53</v>
      </c>
      <c r="D256" s="23" t="n">
        <v>42124.9166666667</v>
      </c>
      <c r="E256" s="23" t="n">
        <v>42125.2395833333</v>
      </c>
      <c r="F256" s="23" t="n">
        <v>42125.4166666667</v>
      </c>
      <c r="G256" s="4" t="n">
        <f aca="false">YEAR(E256)</f>
        <v>2015</v>
      </c>
      <c r="H256" s="4" t="str">
        <f aca="false">IF(E256&lt;DATE(2015,1,1),"2005–2014",IF(E256&lt;DATE(2022,3,5),"2015 – Mar 2022","Mar 2022 – Oct 2026"))</f>
        <v>2015 – Mar 2022</v>
      </c>
      <c r="I256" s="24" t="n">
        <v>183.713</v>
      </c>
      <c r="J256" s="24" t="n">
        <v>183.085</v>
      </c>
      <c r="K256" s="24" t="n">
        <v>187.338</v>
      </c>
      <c r="L256" s="25" t="n">
        <v>5.775</v>
      </c>
      <c r="M256" s="26" t="n">
        <v>62.777</v>
      </c>
      <c r="N256" s="4" t="s">
        <v>34</v>
      </c>
      <c r="O256" s="27" t="n">
        <v>-1.0119</v>
      </c>
      <c r="P256" s="28" t="n">
        <f aca="false">Summary!$C$6*O256</f>
        <v>-0.0050595</v>
      </c>
      <c r="Q256" s="29" t="n">
        <f aca="false">Q255*(1+P256)</f>
        <v>11049.7902446326</v>
      </c>
      <c r="R256" s="29" t="n">
        <f aca="false">MAX(R255,Q256)</f>
        <v>11864.3506047878</v>
      </c>
      <c r="S256" s="30" t="n">
        <f aca="false">Q256/R256-1</f>
        <v>-0.0686561268533725</v>
      </c>
      <c r="T256" s="31" t="n">
        <f aca="false">DATE(YEAR(F256),MONTH(F256),1)</f>
        <v>42125</v>
      </c>
    </row>
    <row r="257" customFormat="false" ht="15" hidden="false" customHeight="true" outlineLevel="0" collapsed="false">
      <c r="A257" s="4" t="n">
        <v>256</v>
      </c>
      <c r="B257" s="4" t="s">
        <v>28</v>
      </c>
      <c r="C257" s="4" t="s">
        <v>54</v>
      </c>
      <c r="D257" s="23" t="n">
        <v>42125.9166666667</v>
      </c>
      <c r="E257" s="23" t="n">
        <v>42131.875</v>
      </c>
      <c r="F257" s="23" t="n">
        <v>42131.875</v>
      </c>
      <c r="G257" s="4" t="n">
        <f aca="false">YEAR(E257)</f>
        <v>2015</v>
      </c>
      <c r="H257" s="4" t="str">
        <f aca="false">IF(E257&lt;DATE(2015,1,1),"2005–2014",IF(E257&lt;DATE(2022,3,5),"2015 – Mar 2022","Mar 2022 – Oct 2026"))</f>
        <v>2015 – Mar 2022</v>
      </c>
      <c r="I257" s="24" t="n">
        <v>183.123</v>
      </c>
      <c r="J257" s="24" t="n">
        <v>183.785</v>
      </c>
      <c r="K257" s="24" t="n">
        <v>180.035</v>
      </c>
      <c r="L257" s="25" t="n">
        <v>4.667</v>
      </c>
      <c r="M257" s="26" t="n">
        <v>66.179</v>
      </c>
      <c r="N257" s="4" t="s">
        <v>34</v>
      </c>
      <c r="O257" s="27" t="n">
        <v>-1.0113</v>
      </c>
      <c r="P257" s="28" t="n">
        <f aca="false">Summary!$C$6*O257</f>
        <v>-0.0050565</v>
      </c>
      <c r="Q257" s="29" t="n">
        <f aca="false">Q256*(1+P257)</f>
        <v>10993.9169802606</v>
      </c>
      <c r="R257" s="29" t="n">
        <f aca="false">MAX(R256,Q257)</f>
        <v>11864.3506047878</v>
      </c>
      <c r="S257" s="30" t="n">
        <f aca="false">Q257/R257-1</f>
        <v>-0.0733654671479385</v>
      </c>
      <c r="T257" s="31" t="n">
        <f aca="false">DATE(YEAR(F257),MONTH(F257),1)</f>
        <v>42125</v>
      </c>
    </row>
    <row r="258" customFormat="false" ht="15" hidden="false" customHeight="true" outlineLevel="0" collapsed="false">
      <c r="A258" s="4" t="n">
        <v>257</v>
      </c>
      <c r="B258" s="4" t="s">
        <v>28</v>
      </c>
      <c r="C258" s="4" t="s">
        <v>54</v>
      </c>
      <c r="D258" s="23" t="n">
        <v>42193.9166666667</v>
      </c>
      <c r="E258" s="23" t="n">
        <v>42195.3854166667</v>
      </c>
      <c r="F258" s="23" t="n">
        <v>42195.4583333333</v>
      </c>
      <c r="G258" s="4" t="n">
        <f aca="false">YEAR(E258)</f>
        <v>2015</v>
      </c>
      <c r="H258" s="4" t="str">
        <f aca="false">IF(E258&lt;DATE(2015,1,1),"2005–2014",IF(E258&lt;DATE(2022,3,5),"2015 – Mar 2022","Mar 2022 – Oct 2026"))</f>
        <v>2015 – Mar 2022</v>
      </c>
      <c r="I258" s="24" t="n">
        <v>189.344</v>
      </c>
      <c r="J258" s="24" t="n">
        <v>190.118</v>
      </c>
      <c r="K258" s="24" t="n">
        <v>184.753</v>
      </c>
      <c r="L258" s="25" t="n">
        <v>5.938</v>
      </c>
      <c r="M258" s="26" t="n">
        <v>77.322</v>
      </c>
      <c r="N258" s="4" t="s">
        <v>34</v>
      </c>
      <c r="O258" s="27" t="n">
        <v>-1.0097</v>
      </c>
      <c r="P258" s="28" t="n">
        <f aca="false">Summary!$C$6*O258</f>
        <v>-0.0050485</v>
      </c>
      <c r="Q258" s="29" t="n">
        <f aca="false">Q257*(1+P258)</f>
        <v>10938.4141903858</v>
      </c>
      <c r="R258" s="29" t="n">
        <f aca="false">MAX(R257,Q258)</f>
        <v>11864.3506047878</v>
      </c>
      <c r="S258" s="30" t="n">
        <f aca="false">Q258/R258-1</f>
        <v>-0.0780435815870422</v>
      </c>
      <c r="T258" s="31" t="n">
        <f aca="false">DATE(YEAR(F258),MONTH(F258),1)</f>
        <v>42186</v>
      </c>
    </row>
    <row r="259" customFormat="false" ht="15" hidden="false" customHeight="true" outlineLevel="0" collapsed="false">
      <c r="A259" s="4" t="n">
        <v>258</v>
      </c>
      <c r="B259" s="4" t="s">
        <v>28</v>
      </c>
      <c r="C259" s="4" t="s">
        <v>54</v>
      </c>
      <c r="D259" s="23" t="n">
        <v>42248.9166666667</v>
      </c>
      <c r="E259" s="23" t="n">
        <v>42249</v>
      </c>
      <c r="F259" s="23" t="n">
        <v>42250.03125</v>
      </c>
      <c r="G259" s="4" t="n">
        <f aca="false">YEAR(E259)</f>
        <v>2015</v>
      </c>
      <c r="H259" s="4" t="str">
        <f aca="false">IF(E259&lt;DATE(2015,1,1),"2005–2014",IF(E259&lt;DATE(2022,3,5),"2015 – Mar 2022","Mar 2022 – Oct 2026"))</f>
        <v>2015 – Mar 2022</v>
      </c>
      <c r="I259" s="24" t="n">
        <v>183.788</v>
      </c>
      <c r="J259" s="24" t="n">
        <v>184.716</v>
      </c>
      <c r="K259" s="24" t="n">
        <v>180.067</v>
      </c>
      <c r="L259" s="25" t="n">
        <v>4.009</v>
      </c>
      <c r="M259" s="26" t="n">
        <v>92.799</v>
      </c>
      <c r="N259" s="4" t="s">
        <v>34</v>
      </c>
      <c r="O259" s="27" t="n">
        <v>-1.0081</v>
      </c>
      <c r="P259" s="28" t="n">
        <f aca="false">Summary!$C$6*O259</f>
        <v>-0.0050405</v>
      </c>
      <c r="Q259" s="29" t="n">
        <f aca="false">Q258*(1+P259)</f>
        <v>10883.2791136592</v>
      </c>
      <c r="R259" s="29" t="n">
        <f aca="false">MAX(R258,Q259)</f>
        <v>11864.3506047878</v>
      </c>
      <c r="S259" s="30" t="n">
        <f aca="false">Q259/R259-1</f>
        <v>-0.0826907029140527</v>
      </c>
      <c r="T259" s="31" t="n">
        <f aca="false">DATE(YEAR(F259),MONTH(F259),1)</f>
        <v>42248</v>
      </c>
    </row>
    <row r="260" customFormat="false" ht="15" hidden="false" customHeight="true" outlineLevel="0" collapsed="false">
      <c r="A260" s="4" t="n">
        <v>259</v>
      </c>
      <c r="B260" s="4" t="s">
        <v>28</v>
      </c>
      <c r="C260" s="4" t="s">
        <v>54</v>
      </c>
      <c r="D260" s="23" t="n">
        <v>42250.9166666667</v>
      </c>
      <c r="E260" s="23" t="n">
        <v>42255.2916666667</v>
      </c>
      <c r="F260" s="23" t="n">
        <v>42256.0104166667</v>
      </c>
      <c r="G260" s="4" t="n">
        <f aca="false">YEAR(E260)</f>
        <v>2015</v>
      </c>
      <c r="H260" s="4" t="str">
        <f aca="false">IF(E260&lt;DATE(2015,1,1),"2005–2014",IF(E260&lt;DATE(2022,3,5),"2015 – Mar 2022","Mar 2022 – Oct 2026"))</f>
        <v>2015 – Mar 2022</v>
      </c>
      <c r="I260" s="24" t="n">
        <v>184.301</v>
      </c>
      <c r="J260" s="24" t="n">
        <v>185.204</v>
      </c>
      <c r="K260" s="24" t="n">
        <v>180.064</v>
      </c>
      <c r="L260" s="25" t="n">
        <v>4.69</v>
      </c>
      <c r="M260" s="26" t="n">
        <v>90.333</v>
      </c>
      <c r="N260" s="4" t="s">
        <v>34</v>
      </c>
      <c r="O260" s="27" t="n">
        <v>-1.0083</v>
      </c>
      <c r="P260" s="28" t="n">
        <f aca="false">Summary!$C$6*O260</f>
        <v>-0.0050415</v>
      </c>
      <c r="Q260" s="29" t="n">
        <f aca="false">Q259*(1+P260)</f>
        <v>10828.4110620076</v>
      </c>
      <c r="R260" s="29" t="n">
        <f aca="false">MAX(R259,Q260)</f>
        <v>11864.3506047878</v>
      </c>
      <c r="S260" s="30" t="n">
        <f aca="false">Q260/R260-1</f>
        <v>-0.0873153177353114</v>
      </c>
      <c r="T260" s="31" t="n">
        <f aca="false">DATE(YEAR(F260),MONTH(F260),1)</f>
        <v>42248</v>
      </c>
    </row>
    <row r="261" customFormat="false" ht="15" hidden="false" customHeight="true" outlineLevel="0" collapsed="false">
      <c r="A261" s="4" t="n">
        <v>260</v>
      </c>
      <c r="B261" s="4" t="s">
        <v>27</v>
      </c>
      <c r="C261" s="4" t="s">
        <v>53</v>
      </c>
      <c r="D261" s="23" t="n">
        <v>42261.9166666667</v>
      </c>
      <c r="E261" s="23" t="n">
        <v>42262</v>
      </c>
      <c r="F261" s="23" t="n">
        <v>42262.2604166667</v>
      </c>
      <c r="G261" s="4" t="n">
        <f aca="false">YEAR(E261)</f>
        <v>2015</v>
      </c>
      <c r="H261" s="4" t="str">
        <f aca="false">IF(E261&lt;DATE(2015,1,1),"2005–2014",IF(E261&lt;DATE(2022,3,5),"2015 – Mar 2022","Mar 2022 – Oct 2026"))</f>
        <v>2015 – Mar 2022</v>
      </c>
      <c r="I261" s="24" t="n">
        <v>185.658</v>
      </c>
      <c r="J261" s="24" t="n">
        <v>184.741</v>
      </c>
      <c r="K261" s="24" t="n">
        <v>189.248</v>
      </c>
      <c r="L261" s="25" t="n">
        <v>3.914</v>
      </c>
      <c r="M261" s="26" t="n">
        <v>91.733</v>
      </c>
      <c r="N261" s="4" t="s">
        <v>34</v>
      </c>
      <c r="O261" s="27" t="n">
        <v>-1.0082</v>
      </c>
      <c r="P261" s="28" t="n">
        <f aca="false">Summary!$C$6*O261</f>
        <v>-0.005041</v>
      </c>
      <c r="Q261" s="29" t="n">
        <f aca="false">Q260*(1+P261)</f>
        <v>10773.8250418441</v>
      </c>
      <c r="R261" s="29" t="n">
        <f aca="false">MAX(R260,Q261)</f>
        <v>11864.3506047878</v>
      </c>
      <c r="S261" s="30" t="n">
        <f aca="false">Q261/R261-1</f>
        <v>-0.0919161612186077</v>
      </c>
      <c r="T261" s="31" t="n">
        <f aca="false">DATE(YEAR(F261),MONTH(F261),1)</f>
        <v>42248</v>
      </c>
    </row>
    <row r="262" customFormat="false" ht="15" hidden="false" customHeight="true" outlineLevel="0" collapsed="false">
      <c r="A262" s="4" t="n">
        <v>261</v>
      </c>
      <c r="B262" s="4" t="s">
        <v>27</v>
      </c>
      <c r="C262" s="4" t="s">
        <v>54</v>
      </c>
      <c r="D262" s="23" t="n">
        <v>42264.9166666667</v>
      </c>
      <c r="E262" s="23" t="n">
        <v>42265.0520833333</v>
      </c>
      <c r="F262" s="23" t="n">
        <v>42265.6145833333</v>
      </c>
      <c r="G262" s="4" t="n">
        <f aca="false">YEAR(E262)</f>
        <v>2015</v>
      </c>
      <c r="H262" s="4" t="str">
        <f aca="false">IF(E262&lt;DATE(2015,1,1),"2005–2014",IF(E262&lt;DATE(2022,3,5),"2015 – Mar 2022","Mar 2022 – Oct 2026"))</f>
        <v>2015 – Mar 2022</v>
      </c>
      <c r="I262" s="24" t="n">
        <v>187.06</v>
      </c>
      <c r="J262" s="24" t="n">
        <v>187.97</v>
      </c>
      <c r="K262" s="24" t="n">
        <v>183.888</v>
      </c>
      <c r="L262" s="25" t="n">
        <v>3.485</v>
      </c>
      <c r="M262" s="26" t="n">
        <v>91.026</v>
      </c>
      <c r="N262" s="4" t="s">
        <v>35</v>
      </c>
      <c r="O262" s="27" t="n">
        <v>0.0247</v>
      </c>
      <c r="P262" s="28" t="n">
        <f aca="false">Summary!$C$6*O262</f>
        <v>0.0001235</v>
      </c>
      <c r="Q262" s="29" t="n">
        <f aca="false">Q261*(1+P262)</f>
        <v>10775.1556092367</v>
      </c>
      <c r="R262" s="29" t="n">
        <f aca="false">MAX(R261,Q262)</f>
        <v>11864.3506047878</v>
      </c>
      <c r="S262" s="30" t="n">
        <f aca="false">Q262/R262-1</f>
        <v>-0.0918040128645182</v>
      </c>
      <c r="T262" s="31" t="n">
        <f aca="false">DATE(YEAR(F262),MONTH(F262),1)</f>
        <v>42248</v>
      </c>
    </row>
    <row r="263" customFormat="false" ht="15" hidden="false" customHeight="true" outlineLevel="0" collapsed="false">
      <c r="A263" s="4" t="n">
        <v>262</v>
      </c>
      <c r="B263" s="4" t="s">
        <v>28</v>
      </c>
      <c r="C263" s="4" t="s">
        <v>54</v>
      </c>
      <c r="D263" s="23" t="n">
        <v>42265.9166666667</v>
      </c>
      <c r="E263" s="23" t="n">
        <v>42268.4791666667</v>
      </c>
      <c r="F263" s="23" t="n">
        <v>42269.6041666667</v>
      </c>
      <c r="G263" s="4" t="n">
        <f aca="false">YEAR(E263)</f>
        <v>2015</v>
      </c>
      <c r="H263" s="4" t="str">
        <f aca="false">IF(E263&lt;DATE(2015,1,1),"2005–2014",IF(E263&lt;DATE(2022,3,5),"2015 – Mar 2022","Mar 2022 – Oct 2026"))</f>
        <v>2015 – Mar 2022</v>
      </c>
      <c r="I263" s="24" t="n">
        <v>187.161</v>
      </c>
      <c r="J263" s="24" t="n">
        <v>188.048</v>
      </c>
      <c r="K263" s="24" t="n">
        <v>184.438</v>
      </c>
      <c r="L263" s="25" t="n">
        <v>3.069</v>
      </c>
      <c r="M263" s="26" t="n">
        <v>88.712</v>
      </c>
      <c r="N263" s="4" t="s">
        <v>33</v>
      </c>
      <c r="O263" s="27" t="n">
        <v>3.0692</v>
      </c>
      <c r="P263" s="28" t="n">
        <f aca="false">Summary!$C$6*O263</f>
        <v>0.015346</v>
      </c>
      <c r="Q263" s="29" t="n">
        <f aca="false">Q262*(1+P263)</f>
        <v>10940.5111472161</v>
      </c>
      <c r="R263" s="29" t="n">
        <f aca="false">MAX(R262,Q263)</f>
        <v>11864.3506047878</v>
      </c>
      <c r="S263" s="30" t="n">
        <f aca="false">Q263/R263-1</f>
        <v>-0.077866837245937</v>
      </c>
      <c r="T263" s="31" t="n">
        <f aca="false">DATE(YEAR(F263),MONTH(F263),1)</f>
        <v>42248</v>
      </c>
    </row>
    <row r="264" customFormat="false" ht="15" hidden="false" customHeight="true" outlineLevel="0" collapsed="false">
      <c r="A264" s="4" t="n">
        <v>263</v>
      </c>
      <c r="B264" s="4" t="s">
        <v>28</v>
      </c>
      <c r="C264" s="4" t="s">
        <v>54</v>
      </c>
      <c r="D264" s="23" t="n">
        <v>42271.9166666667</v>
      </c>
      <c r="E264" s="23" t="n">
        <v>42272.28125</v>
      </c>
      <c r="F264" s="23" t="n">
        <v>42284.3541666667</v>
      </c>
      <c r="G264" s="4" t="n">
        <f aca="false">YEAR(E264)</f>
        <v>2015</v>
      </c>
      <c r="H264" s="4" t="str">
        <f aca="false">IF(E264&lt;DATE(2015,1,1),"2005–2014",IF(E264&lt;DATE(2022,3,5),"2015 – Mar 2022","Mar 2022 – Oct 2026"))</f>
        <v>2015 – Mar 2022</v>
      </c>
      <c r="I264" s="24" t="n">
        <v>183.789</v>
      </c>
      <c r="J264" s="24" t="n">
        <v>184.657</v>
      </c>
      <c r="K264" s="24" t="n">
        <v>180.678</v>
      </c>
      <c r="L264" s="25" t="n">
        <v>3.581</v>
      </c>
      <c r="M264" s="26" t="n">
        <v>86.863</v>
      </c>
      <c r="N264" s="4" t="s">
        <v>35</v>
      </c>
      <c r="O264" s="27" t="n">
        <v>0.0259</v>
      </c>
      <c r="P264" s="28" t="n">
        <f aca="false">Summary!$C$6*O264</f>
        <v>0.0001295</v>
      </c>
      <c r="Q264" s="29" t="n">
        <f aca="false">Q263*(1+P264)</f>
        <v>10941.9279434096</v>
      </c>
      <c r="R264" s="29" t="n">
        <f aca="false">MAX(R263,Q264)</f>
        <v>11864.3506047878</v>
      </c>
      <c r="S264" s="30" t="n">
        <f aca="false">Q264/R264-1</f>
        <v>-0.0777474210013605</v>
      </c>
      <c r="T264" s="31" t="n">
        <f aca="false">DATE(YEAR(F264),MONTH(F264),1)</f>
        <v>42278</v>
      </c>
    </row>
    <row r="265" customFormat="false" ht="15" hidden="false" customHeight="true" outlineLevel="0" collapsed="false">
      <c r="A265" s="4" t="n">
        <v>264</v>
      </c>
      <c r="B265" s="4" t="s">
        <v>27</v>
      </c>
      <c r="C265" s="4" t="s">
        <v>53</v>
      </c>
      <c r="D265" s="23" t="n">
        <v>42284.9166666667</v>
      </c>
      <c r="E265" s="23" t="n">
        <v>42285.0520833333</v>
      </c>
      <c r="F265" s="23" t="n">
        <v>42285.5416666667</v>
      </c>
      <c r="G265" s="4" t="n">
        <f aca="false">YEAR(E265)</f>
        <v>2015</v>
      </c>
      <c r="H265" s="4" t="str">
        <f aca="false">IF(E265&lt;DATE(2015,1,1),"2005–2014",IF(E265&lt;DATE(2022,3,5),"2015 – Mar 2022","Mar 2022 – Oct 2026"))</f>
        <v>2015 – Mar 2022</v>
      </c>
      <c r="I265" s="24" t="n">
        <v>183.793</v>
      </c>
      <c r="J265" s="24" t="n">
        <v>183.036</v>
      </c>
      <c r="K265" s="24" t="n">
        <v>186.318</v>
      </c>
      <c r="L265" s="25" t="n">
        <v>3.333</v>
      </c>
      <c r="M265" s="26" t="n">
        <v>75.737</v>
      </c>
      <c r="N265" s="4" t="s">
        <v>34</v>
      </c>
      <c r="O265" s="27" t="n">
        <v>-1.0099</v>
      </c>
      <c r="P265" s="28" t="n">
        <f aca="false">Summary!$C$6*O265</f>
        <v>-0.0050495</v>
      </c>
      <c r="Q265" s="29" t="n">
        <f aca="false">Q264*(1+P265)</f>
        <v>10886.6766782594</v>
      </c>
      <c r="R265" s="29" t="n">
        <f aca="false">MAX(R264,Q265)</f>
        <v>11864.3506047878</v>
      </c>
      <c r="S265" s="30" t="n">
        <f aca="false">Q265/R265-1</f>
        <v>-0.0824043353990142</v>
      </c>
      <c r="T265" s="31" t="n">
        <f aca="false">DATE(YEAR(F265),MONTH(F265),1)</f>
        <v>42278</v>
      </c>
    </row>
    <row r="266" customFormat="false" ht="15" hidden="false" customHeight="true" outlineLevel="0" collapsed="false">
      <c r="A266" s="4" t="n">
        <v>265</v>
      </c>
      <c r="B266" s="4" t="s">
        <v>27</v>
      </c>
      <c r="C266" s="4" t="s">
        <v>54</v>
      </c>
      <c r="D266" s="23" t="n">
        <v>42286.9166666667</v>
      </c>
      <c r="E266" s="23" t="n">
        <v>42289.0104166667</v>
      </c>
      <c r="F266" s="23" t="n">
        <v>42290.5104166667</v>
      </c>
      <c r="G266" s="4" t="n">
        <f aca="false">YEAR(E266)</f>
        <v>2015</v>
      </c>
      <c r="H266" s="4" t="str">
        <f aca="false">IF(E266&lt;DATE(2015,1,1),"2005–2014",IF(E266&lt;DATE(2022,3,5),"2015 – Mar 2022","Mar 2022 – Oct 2026"))</f>
        <v>2015 – Mar 2022</v>
      </c>
      <c r="I266" s="24" t="n">
        <v>184.115</v>
      </c>
      <c r="J266" s="24" t="n">
        <v>184.829</v>
      </c>
      <c r="K266" s="24" t="n">
        <v>181.956</v>
      </c>
      <c r="L266" s="25" t="n">
        <v>3.023</v>
      </c>
      <c r="M266" s="26" t="n">
        <v>71.417</v>
      </c>
      <c r="N266" s="4" t="s">
        <v>33</v>
      </c>
      <c r="O266" s="27" t="n">
        <v>3.023</v>
      </c>
      <c r="P266" s="28" t="n">
        <f aca="false">Summary!$C$6*O266</f>
        <v>0.015115</v>
      </c>
      <c r="Q266" s="29" t="n">
        <f aca="false">Q265*(1+P266)</f>
        <v>11051.2287962513</v>
      </c>
      <c r="R266" s="29" t="n">
        <f aca="false">MAX(R265,Q266)</f>
        <v>11864.3506047878</v>
      </c>
      <c r="S266" s="30" t="n">
        <f aca="false">Q266/R266-1</f>
        <v>-0.0685348769285703</v>
      </c>
      <c r="T266" s="31" t="n">
        <f aca="false">DATE(YEAR(F266),MONTH(F266),1)</f>
        <v>42278</v>
      </c>
    </row>
    <row r="267" customFormat="false" ht="15" hidden="false" customHeight="true" outlineLevel="0" collapsed="false">
      <c r="A267" s="4" t="n">
        <v>266</v>
      </c>
      <c r="B267" s="4" t="s">
        <v>28</v>
      </c>
      <c r="C267" s="4" t="s">
        <v>54</v>
      </c>
      <c r="D267" s="23" t="n">
        <v>42290.9166666667</v>
      </c>
      <c r="E267" s="23" t="n">
        <v>42291.3333333333</v>
      </c>
      <c r="F267" s="23" t="n">
        <v>42291.5104166667</v>
      </c>
      <c r="G267" s="4" t="n">
        <f aca="false">YEAR(E267)</f>
        <v>2015</v>
      </c>
      <c r="H267" s="4" t="str">
        <f aca="false">IF(E267&lt;DATE(2015,1,1),"2005–2014",IF(E267&lt;DATE(2022,3,5),"2015 – Mar 2022","Mar 2022 – Oct 2026"))</f>
        <v>2015 – Mar 2022</v>
      </c>
      <c r="I267" s="24" t="n">
        <v>183.36</v>
      </c>
      <c r="J267" s="24" t="n">
        <v>184.071</v>
      </c>
      <c r="K267" s="24" t="n">
        <v>180.659</v>
      </c>
      <c r="L267" s="25" t="n">
        <v>3.804</v>
      </c>
      <c r="M267" s="26" t="n">
        <v>71.023</v>
      </c>
      <c r="N267" s="4" t="s">
        <v>34</v>
      </c>
      <c r="O267" s="27" t="n">
        <v>-1.0106</v>
      </c>
      <c r="P267" s="28" t="n">
        <f aca="false">Summary!$C$6*O267</f>
        <v>-0.005053</v>
      </c>
      <c r="Q267" s="29" t="n">
        <f aca="false">Q266*(1+P267)</f>
        <v>10995.3869371438</v>
      </c>
      <c r="R267" s="29" t="n">
        <f aca="false">MAX(R266,Q267)</f>
        <v>11864.3506047878</v>
      </c>
      <c r="S267" s="30" t="n">
        <f aca="false">Q267/R267-1</f>
        <v>-0.0732415701954501</v>
      </c>
      <c r="T267" s="31" t="n">
        <f aca="false">DATE(YEAR(F267),MONTH(F267),1)</f>
        <v>42278</v>
      </c>
    </row>
    <row r="268" customFormat="false" ht="15" hidden="false" customHeight="true" outlineLevel="0" collapsed="false">
      <c r="A268" s="4" t="n">
        <v>267</v>
      </c>
      <c r="B268" s="4" t="s">
        <v>28</v>
      </c>
      <c r="C268" s="4" t="s">
        <v>53</v>
      </c>
      <c r="D268" s="23" t="n">
        <v>42291.9166666667</v>
      </c>
      <c r="E268" s="23" t="n">
        <v>42292.3020833333</v>
      </c>
      <c r="F268" s="23" t="n">
        <v>42307.65625</v>
      </c>
      <c r="G268" s="4" t="n">
        <f aca="false">YEAR(E268)</f>
        <v>2015</v>
      </c>
      <c r="H268" s="4" t="str">
        <f aca="false">IF(E268&lt;DATE(2015,1,1),"2005–2014",IF(E268&lt;DATE(2022,3,5),"2015 – Mar 2022","Mar 2022 – Oct 2026"))</f>
        <v>2015 – Mar 2022</v>
      </c>
      <c r="I268" s="24" t="n">
        <v>183.175</v>
      </c>
      <c r="J268" s="24" t="n">
        <v>182.457</v>
      </c>
      <c r="K268" s="24" t="n">
        <v>186.322</v>
      </c>
      <c r="L268" s="25" t="n">
        <v>4.381</v>
      </c>
      <c r="M268" s="26" t="n">
        <v>71.833</v>
      </c>
      <c r="N268" s="4" t="s">
        <v>33</v>
      </c>
      <c r="O268" s="27" t="n">
        <v>4.3814</v>
      </c>
      <c r="P268" s="28" t="n">
        <f aca="false">Summary!$C$6*O268</f>
        <v>0.021907</v>
      </c>
      <c r="Q268" s="29" t="n">
        <f aca="false">Q267*(1+P268)</f>
        <v>11236.2628787758</v>
      </c>
      <c r="R268" s="29" t="n">
        <f aca="false">MAX(R267,Q268)</f>
        <v>11864.3506047878</v>
      </c>
      <c r="S268" s="30" t="n">
        <f aca="false">Q268/R268-1</f>
        <v>-0.0529390732737221</v>
      </c>
      <c r="T268" s="31" t="n">
        <f aca="false">DATE(YEAR(F268),MONTH(F268),1)</f>
        <v>42278</v>
      </c>
    </row>
    <row r="269" customFormat="false" ht="15" hidden="false" customHeight="true" outlineLevel="0" collapsed="false">
      <c r="A269" s="4" t="n">
        <v>268</v>
      </c>
      <c r="B269" s="4" t="s">
        <v>27</v>
      </c>
      <c r="C269" s="4" t="s">
        <v>54</v>
      </c>
      <c r="D269" s="23" t="n">
        <v>42312.9166666667</v>
      </c>
      <c r="E269" s="23" t="n">
        <v>42313.1458333333</v>
      </c>
      <c r="F269" s="23" t="n">
        <v>42313.3958333333</v>
      </c>
      <c r="G269" s="4" t="n">
        <f aca="false">YEAR(E269)</f>
        <v>2015</v>
      </c>
      <c r="H269" s="4" t="str">
        <f aca="false">IF(E269&lt;DATE(2015,1,1),"2005–2014",IF(E269&lt;DATE(2022,3,5),"2015 – Mar 2022","Mar 2022 – Oct 2026"))</f>
        <v>2015 – Mar 2022</v>
      </c>
      <c r="I269" s="24" t="n">
        <v>186.91</v>
      </c>
      <c r="J269" s="24" t="n">
        <v>187.501</v>
      </c>
      <c r="K269" s="24" t="n">
        <v>184.79</v>
      </c>
      <c r="L269" s="25" t="n">
        <v>3.584</v>
      </c>
      <c r="M269" s="26" t="n">
        <v>59.15</v>
      </c>
      <c r="N269" s="4" t="s">
        <v>34</v>
      </c>
      <c r="O269" s="27" t="n">
        <v>-1.0127</v>
      </c>
      <c r="P269" s="28" t="n">
        <f aca="false">Summary!$C$6*O269</f>
        <v>-0.0050635</v>
      </c>
      <c r="Q269" s="29" t="n">
        <f aca="false">Q268*(1+P269)</f>
        <v>11179.3680616892</v>
      </c>
      <c r="R269" s="29" t="n">
        <f aca="false">MAX(R268,Q269)</f>
        <v>11864.3506047878</v>
      </c>
      <c r="S269" s="30" t="n">
        <f aca="false">Q269/R269-1</f>
        <v>-0.0577345162762004</v>
      </c>
      <c r="T269" s="31" t="n">
        <f aca="false">DATE(YEAR(F269),MONTH(F269),1)</f>
        <v>42309</v>
      </c>
    </row>
    <row r="270" customFormat="false" ht="15" hidden="false" customHeight="true" outlineLevel="0" collapsed="false">
      <c r="A270" s="4" t="n">
        <v>269</v>
      </c>
      <c r="B270" s="4" t="s">
        <v>27</v>
      </c>
      <c r="C270" s="4" t="s">
        <v>54</v>
      </c>
      <c r="D270" s="23" t="n">
        <v>42320.9166666667</v>
      </c>
      <c r="E270" s="23" t="n">
        <v>42321.0416666667</v>
      </c>
      <c r="F270" s="23" t="n">
        <v>42324.7083333333</v>
      </c>
      <c r="G270" s="4" t="n">
        <f aca="false">YEAR(E270)</f>
        <v>2015</v>
      </c>
      <c r="H270" s="4" t="str">
        <f aca="false">IF(E270&lt;DATE(2015,1,1),"2005–2014",IF(E270&lt;DATE(2022,3,5),"2015 – Mar 2022","Mar 2022 – Oct 2026"))</f>
        <v>2015 – Mar 2022</v>
      </c>
      <c r="I270" s="24" t="n">
        <v>186.692</v>
      </c>
      <c r="J270" s="24" t="n">
        <v>187.264</v>
      </c>
      <c r="K270" s="24" t="n">
        <v>184.788</v>
      </c>
      <c r="L270" s="25" t="n">
        <v>3.327</v>
      </c>
      <c r="M270" s="26" t="n">
        <v>57.239</v>
      </c>
      <c r="N270" s="4" t="s">
        <v>34</v>
      </c>
      <c r="O270" s="27" t="n">
        <v>-1.0131</v>
      </c>
      <c r="P270" s="28" t="n">
        <f aca="false">Summary!$C$6*O270</f>
        <v>-0.0050655</v>
      </c>
      <c r="Q270" s="29" t="n">
        <f aca="false">Q269*(1+P270)</f>
        <v>11122.7389727727</v>
      </c>
      <c r="R270" s="29" t="n">
        <f aca="false">MAX(R269,Q270)</f>
        <v>11864.3506047878</v>
      </c>
      <c r="S270" s="30" t="n">
        <f aca="false">Q270/R270-1</f>
        <v>-0.0625075620840033</v>
      </c>
      <c r="T270" s="31" t="n">
        <f aca="false">DATE(YEAR(F270),MONTH(F270),1)</f>
        <v>42309</v>
      </c>
    </row>
    <row r="271" customFormat="false" ht="15" hidden="false" customHeight="true" outlineLevel="0" collapsed="false">
      <c r="A271" s="4" t="n">
        <v>270</v>
      </c>
      <c r="B271" s="4" t="s">
        <v>27</v>
      </c>
      <c r="C271" s="4" t="s">
        <v>53</v>
      </c>
      <c r="D271" s="23" t="n">
        <v>42325.9166666667</v>
      </c>
      <c r="E271" s="23" t="n">
        <v>42326.3333333333</v>
      </c>
      <c r="F271" s="23" t="n">
        <v>42328.3645833333</v>
      </c>
      <c r="G271" s="4" t="n">
        <f aca="false">YEAR(E271)</f>
        <v>2015</v>
      </c>
      <c r="H271" s="4" t="str">
        <f aca="false">IF(E271&lt;DATE(2015,1,1),"2005–2014",IF(E271&lt;DATE(2022,3,5),"2015 – Mar 2022","Mar 2022 – Oct 2026"))</f>
        <v>2015 – Mar 2022</v>
      </c>
      <c r="I271" s="24" t="n">
        <v>187.476</v>
      </c>
      <c r="J271" s="24" t="n">
        <v>186.929</v>
      </c>
      <c r="K271" s="24" t="n">
        <v>189.293</v>
      </c>
      <c r="L271" s="25" t="n">
        <v>3.324</v>
      </c>
      <c r="M271" s="26" t="n">
        <v>54.674</v>
      </c>
      <c r="N271" s="4" t="s">
        <v>35</v>
      </c>
      <c r="O271" s="27" t="n">
        <v>0.0412</v>
      </c>
      <c r="P271" s="28" t="n">
        <f aca="false">Summary!$C$6*O271</f>
        <v>0.000206</v>
      </c>
      <c r="Q271" s="29" t="n">
        <f aca="false">Q270*(1+P271)</f>
        <v>11125.0302570011</v>
      </c>
      <c r="R271" s="29" t="n">
        <f aca="false">MAX(R270,Q271)</f>
        <v>11864.3506047878</v>
      </c>
      <c r="S271" s="30" t="n">
        <f aca="false">Q271/R271-1</f>
        <v>-0.0623144386417928</v>
      </c>
      <c r="T271" s="31" t="n">
        <f aca="false">DATE(YEAR(F271),MONTH(F271),1)</f>
        <v>42309</v>
      </c>
    </row>
    <row r="272" customFormat="false" ht="15" hidden="false" customHeight="true" outlineLevel="0" collapsed="false">
      <c r="A272" s="4" t="n">
        <v>271</v>
      </c>
      <c r="B272" s="4" t="s">
        <v>27</v>
      </c>
      <c r="C272" s="4" t="s">
        <v>53</v>
      </c>
      <c r="D272" s="23" t="n">
        <v>42349.9166666667</v>
      </c>
      <c r="E272" s="23" t="n">
        <v>42352.0729166667</v>
      </c>
      <c r="F272" s="23" t="n">
        <v>42352.46875</v>
      </c>
      <c r="G272" s="4" t="n">
        <f aca="false">YEAR(E272)</f>
        <v>2015</v>
      </c>
      <c r="H272" s="4" t="str">
        <f aca="false">IF(E272&lt;DATE(2015,1,1),"2005–2014",IF(E272&lt;DATE(2022,3,5),"2015 – Mar 2022","Mar 2022 – Oct 2026"))</f>
        <v>2015 – Mar 2022</v>
      </c>
      <c r="I272" s="24" t="n">
        <v>183.792</v>
      </c>
      <c r="J272" s="24" t="n">
        <v>183.215</v>
      </c>
      <c r="K272" s="24" t="n">
        <v>185.929</v>
      </c>
      <c r="L272" s="25" t="n">
        <v>3.704</v>
      </c>
      <c r="M272" s="26" t="n">
        <v>57.691</v>
      </c>
      <c r="N272" s="4" t="s">
        <v>34</v>
      </c>
      <c r="O272" s="27" t="n">
        <v>-1.013</v>
      </c>
      <c r="P272" s="28" t="n">
        <f aca="false">Summary!$C$6*O272</f>
        <v>-0.005065</v>
      </c>
      <c r="Q272" s="29" t="n">
        <f aca="false">Q271*(1+P272)</f>
        <v>11068.6819787493</v>
      </c>
      <c r="R272" s="29" t="n">
        <f aca="false">MAX(R271,Q272)</f>
        <v>11864.3506047878</v>
      </c>
      <c r="S272" s="30" t="n">
        <f aca="false">Q272/R272-1</f>
        <v>-0.0670638160100721</v>
      </c>
      <c r="T272" s="31" t="n">
        <f aca="false">DATE(YEAR(F272),MONTH(F272),1)</f>
        <v>42339</v>
      </c>
    </row>
    <row r="273" customFormat="false" ht="15" hidden="false" customHeight="true" outlineLevel="0" collapsed="false">
      <c r="A273" s="4" t="n">
        <v>272</v>
      </c>
      <c r="B273" s="4" t="s">
        <v>28</v>
      </c>
      <c r="C273" s="4" t="s">
        <v>54</v>
      </c>
      <c r="D273" s="23" t="n">
        <v>42352.9166666667</v>
      </c>
      <c r="E273" s="23" t="n">
        <v>42353.5729166667</v>
      </c>
      <c r="F273" s="23" t="n">
        <v>42356.15625</v>
      </c>
      <c r="G273" s="4" t="n">
        <f aca="false">YEAR(E273)</f>
        <v>2015</v>
      </c>
      <c r="H273" s="4" t="str">
        <f aca="false">IF(E273&lt;DATE(2015,1,1),"2005–2014",IF(E273&lt;DATE(2022,3,5),"2015 – Mar 2022","Mar 2022 – Oct 2026"))</f>
        <v>2015 – Mar 2022</v>
      </c>
      <c r="I273" s="24" t="n">
        <v>183.801</v>
      </c>
      <c r="J273" s="24" t="n">
        <v>184.409</v>
      </c>
      <c r="K273" s="24" t="n">
        <v>181.778</v>
      </c>
      <c r="L273" s="25" t="n">
        <v>3.33</v>
      </c>
      <c r="M273" s="26" t="n">
        <v>60.749</v>
      </c>
      <c r="N273" s="4" t="s">
        <v>35</v>
      </c>
      <c r="O273" s="27" t="n">
        <v>0.037</v>
      </c>
      <c r="P273" s="28" t="n">
        <f aca="false">Summary!$C$6*O273</f>
        <v>0.000185</v>
      </c>
      <c r="Q273" s="29" t="n">
        <f aca="false">Q272*(1+P273)</f>
        <v>11070.7296849154</v>
      </c>
      <c r="R273" s="29" t="n">
        <f aca="false">MAX(R272,Q273)</f>
        <v>11864.3506047878</v>
      </c>
      <c r="S273" s="30" t="n">
        <f aca="false">Q273/R273-1</f>
        <v>-0.0668912228160339</v>
      </c>
      <c r="T273" s="31" t="n">
        <f aca="false">DATE(YEAR(F273),MONTH(F273),1)</f>
        <v>42339</v>
      </c>
    </row>
    <row r="274" customFormat="false" ht="15" hidden="false" customHeight="true" outlineLevel="0" collapsed="false">
      <c r="A274" s="4" t="n">
        <v>273</v>
      </c>
      <c r="B274" s="4" t="s">
        <v>28</v>
      </c>
      <c r="C274" s="4" t="s">
        <v>53</v>
      </c>
      <c r="D274" s="23" t="n">
        <v>42361.9166666667</v>
      </c>
      <c r="E274" s="23" t="n">
        <v>42362.3645833333</v>
      </c>
      <c r="F274" s="23" t="n">
        <v>42366.65625</v>
      </c>
      <c r="G274" s="4" t="n">
        <f aca="false">YEAR(E274)</f>
        <v>2015</v>
      </c>
      <c r="H274" s="4" t="str">
        <f aca="false">IF(E274&lt;DATE(2015,1,1),"2005–2014",IF(E274&lt;DATE(2022,3,5),"2015 – Mar 2022","Mar 2022 – Oct 2026"))</f>
        <v>2015 – Mar 2022</v>
      </c>
      <c r="I274" s="24" t="n">
        <v>179.131</v>
      </c>
      <c r="J274" s="24" t="n">
        <v>178.501</v>
      </c>
      <c r="K274" s="24" t="n">
        <v>181.237</v>
      </c>
      <c r="L274" s="25" t="n">
        <v>3.346</v>
      </c>
      <c r="M274" s="26" t="n">
        <v>62.961</v>
      </c>
      <c r="N274" s="4" t="s">
        <v>35</v>
      </c>
      <c r="O274" s="27" t="n">
        <v>0.0357</v>
      </c>
      <c r="P274" s="28" t="n">
        <f aca="false">Summary!$C$6*O274</f>
        <v>0.0001785</v>
      </c>
      <c r="Q274" s="29" t="n">
        <f aca="false">Q273*(1+P274)</f>
        <v>11072.7058101642</v>
      </c>
      <c r="R274" s="29" t="n">
        <f aca="false">MAX(R273,Q274)</f>
        <v>11864.3506047878</v>
      </c>
      <c r="S274" s="30" t="n">
        <f aca="false">Q274/R274-1</f>
        <v>-0.0667246628993063</v>
      </c>
      <c r="T274" s="31" t="n">
        <f aca="false">DATE(YEAR(F274),MONTH(F274),1)</f>
        <v>42339</v>
      </c>
    </row>
    <row r="275" customFormat="false" ht="15" hidden="false" customHeight="true" outlineLevel="0" collapsed="false">
      <c r="A275" s="4" t="n">
        <v>274</v>
      </c>
      <c r="B275" s="4" t="s">
        <v>28</v>
      </c>
      <c r="C275" s="4" t="s">
        <v>54</v>
      </c>
      <c r="D275" s="23" t="n">
        <v>42516.9166666667</v>
      </c>
      <c r="E275" s="23" t="n">
        <v>42520.09375</v>
      </c>
      <c r="F275" s="23" t="n">
        <v>42521.0520833333</v>
      </c>
      <c r="G275" s="4" t="n">
        <f aca="false">YEAR(E275)</f>
        <v>2016</v>
      </c>
      <c r="H275" s="4" t="str">
        <f aca="false">IF(E275&lt;DATE(2015,1,1),"2005–2014",IF(E275&lt;DATE(2022,3,5),"2015 – Mar 2022","Mar 2022 – Oct 2026"))</f>
        <v>2015 – Mar 2022</v>
      </c>
      <c r="I275" s="24" t="n">
        <v>162.129</v>
      </c>
      <c r="J275" s="24" t="n">
        <v>162.972</v>
      </c>
      <c r="K275" s="24" t="n">
        <v>158.764</v>
      </c>
      <c r="L275" s="25" t="n">
        <v>3.992</v>
      </c>
      <c r="M275" s="26" t="n">
        <v>84.303</v>
      </c>
      <c r="N275" s="4" t="s">
        <v>34</v>
      </c>
      <c r="O275" s="27" t="n">
        <v>-1.0089</v>
      </c>
      <c r="P275" s="28" t="n">
        <f aca="false">Summary!$C$6*O275</f>
        <v>-0.0050445</v>
      </c>
      <c r="Q275" s="29" t="n">
        <f aca="false">Q274*(1+P275)</f>
        <v>11016.8495457048</v>
      </c>
      <c r="R275" s="29" t="n">
        <f aca="false">MAX(R274,Q275)</f>
        <v>11864.3506047878</v>
      </c>
      <c r="S275" s="30" t="n">
        <f aca="false">Q275/R275-1</f>
        <v>-0.0714325703373109</v>
      </c>
      <c r="T275" s="31" t="n">
        <f aca="false">DATE(YEAR(F275),MONTH(F275),1)</f>
        <v>42491</v>
      </c>
    </row>
    <row r="276" customFormat="false" ht="15" hidden="false" customHeight="true" outlineLevel="0" collapsed="false">
      <c r="A276" s="4" t="n">
        <v>275</v>
      </c>
      <c r="B276" s="4" t="s">
        <v>28</v>
      </c>
      <c r="C276" s="4" t="s">
        <v>53</v>
      </c>
      <c r="D276" s="23" t="n">
        <v>42543.9166666667</v>
      </c>
      <c r="E276" s="23" t="n">
        <v>42544.25</v>
      </c>
      <c r="F276" s="23" t="n">
        <v>42544.4375</v>
      </c>
      <c r="G276" s="4" t="n">
        <f aca="false">YEAR(E276)</f>
        <v>2016</v>
      </c>
      <c r="H276" s="4" t="str">
        <f aca="false">IF(E276&lt;DATE(2015,1,1),"2005–2014",IF(E276&lt;DATE(2022,3,5),"2015 – Mar 2022","Mar 2022 – Oct 2026"))</f>
        <v>2015 – Mar 2022</v>
      </c>
      <c r="I276" s="24" t="n">
        <v>154.262</v>
      </c>
      <c r="J276" s="24" t="n">
        <v>153.215</v>
      </c>
      <c r="K276" s="24" t="n">
        <v>157.829</v>
      </c>
      <c r="L276" s="25" t="n">
        <v>3.41</v>
      </c>
      <c r="M276" s="26" t="n">
        <v>104.627</v>
      </c>
      <c r="N276" s="4" t="s">
        <v>33</v>
      </c>
      <c r="O276" s="27" t="n">
        <v>3.41</v>
      </c>
      <c r="P276" s="28" t="n">
        <f aca="false">Summary!$C$6*O276</f>
        <v>0.01705</v>
      </c>
      <c r="Q276" s="29" t="n">
        <f aca="false">Q275*(1+P276)</f>
        <v>11204.6868304591</v>
      </c>
      <c r="R276" s="29" t="n">
        <f aca="false">MAX(R275,Q276)</f>
        <v>11864.3506047878</v>
      </c>
      <c r="S276" s="30" t="n">
        <f aca="false">Q276/R276-1</f>
        <v>-0.055600495661562</v>
      </c>
      <c r="T276" s="31" t="n">
        <f aca="false">DATE(YEAR(F276),MONTH(F276),1)</f>
        <v>42522</v>
      </c>
    </row>
    <row r="277" customFormat="false" ht="15" hidden="false" customHeight="true" outlineLevel="0" collapsed="false">
      <c r="A277" s="4" t="n">
        <v>276</v>
      </c>
      <c r="B277" s="4" t="s">
        <v>28</v>
      </c>
      <c r="C277" s="4" t="s">
        <v>53</v>
      </c>
      <c r="D277" s="23" t="n">
        <v>42544.9166666667</v>
      </c>
      <c r="E277" s="23" t="n">
        <v>42544.9479166667</v>
      </c>
      <c r="F277" s="23" t="n">
        <v>42544.9583333333</v>
      </c>
      <c r="G277" s="4" t="n">
        <f aca="false">YEAR(E277)</f>
        <v>2016</v>
      </c>
      <c r="H277" s="4" t="str">
        <f aca="false">IF(E277&lt;DATE(2015,1,1),"2005–2014",IF(E277&lt;DATE(2022,3,5),"2015 – Mar 2022","Mar 2022 – Oct 2026"))</f>
        <v>2015 – Mar 2022</v>
      </c>
      <c r="I277" s="24" t="n">
        <v>157.903</v>
      </c>
      <c r="J277" s="24" t="n">
        <v>156.733</v>
      </c>
      <c r="K277" s="24" t="n">
        <v>161.839</v>
      </c>
      <c r="L277" s="25" t="n">
        <v>3.362</v>
      </c>
      <c r="M277" s="26" t="n">
        <v>117.071</v>
      </c>
      <c r="N277" s="4" t="s">
        <v>34</v>
      </c>
      <c r="O277" s="27" t="n">
        <v>-1.0064</v>
      </c>
      <c r="P277" s="28" t="n">
        <f aca="false">Summary!$C$6*O277</f>
        <v>-0.005032</v>
      </c>
      <c r="Q277" s="29" t="n">
        <f aca="false">Q276*(1+P277)</f>
        <v>11148.3048463282</v>
      </c>
      <c r="R277" s="29" t="n">
        <f aca="false">MAX(R276,Q277)</f>
        <v>11864.3506047878</v>
      </c>
      <c r="S277" s="30" t="n">
        <f aca="false">Q277/R277-1</f>
        <v>-0.0603527139673931</v>
      </c>
      <c r="T277" s="31" t="n">
        <f aca="false">DATE(YEAR(F277),MONTH(F277),1)</f>
        <v>42522</v>
      </c>
    </row>
    <row r="278" customFormat="false" ht="15" hidden="false" customHeight="true" outlineLevel="0" collapsed="false">
      <c r="A278" s="4" t="n">
        <v>277</v>
      </c>
      <c r="B278" s="4" t="s">
        <v>27</v>
      </c>
      <c r="C278" s="4" t="s">
        <v>53</v>
      </c>
      <c r="D278" s="23" t="n">
        <v>42601.9166666667</v>
      </c>
      <c r="E278" s="23" t="n">
        <v>42604.2395833333</v>
      </c>
      <c r="F278" s="23" t="n">
        <v>42612.5833333333</v>
      </c>
      <c r="G278" s="4" t="n">
        <f aca="false">YEAR(E278)</f>
        <v>2016</v>
      </c>
      <c r="H278" s="4" t="str">
        <f aca="false">IF(E278&lt;DATE(2015,1,1),"2005–2014",IF(E278&lt;DATE(2022,3,5),"2015 – Mar 2022","Mar 2022 – Oct 2026"))</f>
        <v>2015 – Mar 2022</v>
      </c>
      <c r="I278" s="24" t="n">
        <v>131.542</v>
      </c>
      <c r="J278" s="24" t="n">
        <v>130.632</v>
      </c>
      <c r="K278" s="24" t="n">
        <v>134.695</v>
      </c>
      <c r="L278" s="25" t="n">
        <v>3.465</v>
      </c>
      <c r="M278" s="26" t="n">
        <v>91.008</v>
      </c>
      <c r="N278" s="4" t="s">
        <v>33</v>
      </c>
      <c r="O278" s="27" t="n">
        <v>3.4645</v>
      </c>
      <c r="P278" s="28" t="n">
        <f aca="false">Summary!$C$6*O278</f>
        <v>0.0173225</v>
      </c>
      <c r="Q278" s="29" t="n">
        <f aca="false">Q277*(1+P278)</f>
        <v>11341.4213570287</v>
      </c>
      <c r="R278" s="29" t="n">
        <f aca="false">MAX(R277,Q278)</f>
        <v>11864.3506047878</v>
      </c>
      <c r="S278" s="30" t="n">
        <f aca="false">Q278/R278-1</f>
        <v>-0.0440756738550933</v>
      </c>
      <c r="T278" s="31" t="n">
        <f aca="false">DATE(YEAR(F278),MONTH(F278),1)</f>
        <v>42583</v>
      </c>
    </row>
    <row r="279" customFormat="false" ht="15" hidden="false" customHeight="true" outlineLevel="0" collapsed="false">
      <c r="A279" s="4" t="n">
        <v>278</v>
      </c>
      <c r="B279" s="4" t="s">
        <v>28</v>
      </c>
      <c r="C279" s="4" t="s">
        <v>53</v>
      </c>
      <c r="D279" s="23" t="n">
        <v>42635.9166666667</v>
      </c>
      <c r="E279" s="23" t="n">
        <v>42639.3020833333</v>
      </c>
      <c r="F279" s="23" t="n">
        <v>42639.4479166667</v>
      </c>
      <c r="G279" s="4" t="n">
        <f aca="false">YEAR(E279)</f>
        <v>2016</v>
      </c>
      <c r="H279" s="4" t="str">
        <f aca="false">IF(E279&lt;DATE(2015,1,1),"2005–2014",IF(E279&lt;DATE(2022,3,5),"2015 – Mar 2022","Mar 2022 – Oct 2026"))</f>
        <v>2015 – Mar 2022</v>
      </c>
      <c r="I279" s="24" t="n">
        <v>130.461</v>
      </c>
      <c r="J279" s="24" t="n">
        <v>129.752</v>
      </c>
      <c r="K279" s="24" t="n">
        <v>134.719</v>
      </c>
      <c r="L279" s="25" t="n">
        <v>5.998</v>
      </c>
      <c r="M279" s="26" t="n">
        <v>70.988</v>
      </c>
      <c r="N279" s="4" t="s">
        <v>34</v>
      </c>
      <c r="O279" s="27" t="n">
        <v>-1.0106</v>
      </c>
      <c r="P279" s="28" t="n">
        <f aca="false">Summary!$C$6*O279</f>
        <v>-0.005053</v>
      </c>
      <c r="Q279" s="29" t="n">
        <f aca="false">Q278*(1+P279)</f>
        <v>11284.1131549117</v>
      </c>
      <c r="R279" s="29" t="n">
        <f aca="false">MAX(R278,Q279)</f>
        <v>11864.3506047878</v>
      </c>
      <c r="S279" s="30" t="n">
        <f aca="false">Q279/R279-1</f>
        <v>-0.0489059594751035</v>
      </c>
      <c r="T279" s="31" t="n">
        <f aca="false">DATE(YEAR(F279),MONTH(F279),1)</f>
        <v>42614</v>
      </c>
    </row>
    <row r="280" customFormat="false" ht="15" hidden="false" customHeight="true" outlineLevel="0" collapsed="false">
      <c r="A280" s="4" t="n">
        <v>279</v>
      </c>
      <c r="B280" s="4" t="s">
        <v>28</v>
      </c>
      <c r="C280" s="4" t="s">
        <v>53</v>
      </c>
      <c r="D280" s="23" t="n">
        <v>42640.9166666667</v>
      </c>
      <c r="E280" s="23" t="n">
        <v>42646.3125</v>
      </c>
      <c r="F280" s="23" t="n">
        <v>42649.9583333333</v>
      </c>
      <c r="G280" s="4" t="n">
        <f aca="false">YEAR(E280)</f>
        <v>2016</v>
      </c>
      <c r="H280" s="4" t="str">
        <f aca="false">IF(E280&lt;DATE(2015,1,1),"2005–2014",IF(E280&lt;DATE(2022,3,5),"2015 – Mar 2022","Mar 2022 – Oct 2026"))</f>
        <v>2015 – Mar 2022</v>
      </c>
      <c r="I280" s="24" t="n">
        <v>130.176</v>
      </c>
      <c r="J280" s="24" t="n">
        <v>129.473</v>
      </c>
      <c r="K280" s="24" t="n">
        <v>134.72</v>
      </c>
      <c r="L280" s="25" t="n">
        <v>6.467</v>
      </c>
      <c r="M280" s="26" t="n">
        <v>70.273</v>
      </c>
      <c r="N280" s="4" t="s">
        <v>35</v>
      </c>
      <c r="O280" s="27" t="n">
        <v>0.032</v>
      </c>
      <c r="P280" s="28" t="n">
        <f aca="false">Summary!$C$6*O280</f>
        <v>0.00016</v>
      </c>
      <c r="Q280" s="29" t="n">
        <f aca="false">Q279*(1+P280)</f>
        <v>11285.9186130164</v>
      </c>
      <c r="R280" s="29" t="n">
        <f aca="false">MAX(R279,Q280)</f>
        <v>11864.3506047878</v>
      </c>
      <c r="S280" s="30" t="n">
        <f aca="false">Q280/R280-1</f>
        <v>-0.0487537844286196</v>
      </c>
      <c r="T280" s="31" t="n">
        <f aca="false">DATE(YEAR(F280),MONTH(F280),1)</f>
        <v>42644</v>
      </c>
    </row>
    <row r="281" customFormat="false" ht="15" hidden="false" customHeight="true" outlineLevel="0" collapsed="false">
      <c r="A281" s="4" t="n">
        <v>280</v>
      </c>
      <c r="B281" s="4" t="s">
        <v>27</v>
      </c>
      <c r="C281" s="4" t="s">
        <v>54</v>
      </c>
      <c r="D281" s="23" t="n">
        <v>42681.9166666667</v>
      </c>
      <c r="E281" s="23" t="n">
        <v>42682.0625</v>
      </c>
      <c r="F281" s="23" t="n">
        <v>42682.6666666667</v>
      </c>
      <c r="G281" s="4" t="n">
        <f aca="false">YEAR(E281)</f>
        <v>2016</v>
      </c>
      <c r="H281" s="4" t="str">
        <f aca="false">IF(E281&lt;DATE(2015,1,1),"2005–2014",IF(E281&lt;DATE(2022,3,5),"2015 – Mar 2022","Mar 2022 – Oct 2026"))</f>
        <v>2015 – Mar 2022</v>
      </c>
      <c r="I281" s="24" t="n">
        <v>129.456</v>
      </c>
      <c r="J281" s="24" t="n">
        <v>130.066</v>
      </c>
      <c r="K281" s="24" t="n">
        <v>127.22</v>
      </c>
      <c r="L281" s="25" t="n">
        <v>3.665</v>
      </c>
      <c r="M281" s="26" t="n">
        <v>60.994</v>
      </c>
      <c r="N281" s="4" t="s">
        <v>34</v>
      </c>
      <c r="O281" s="27" t="n">
        <v>-1.0123</v>
      </c>
      <c r="P281" s="28" t="n">
        <f aca="false">Summary!$C$6*O281</f>
        <v>-0.0050615</v>
      </c>
      <c r="Q281" s="29" t="n">
        <f aca="false">Q280*(1+P281)</f>
        <v>11228.7949359567</v>
      </c>
      <c r="R281" s="29" t="n">
        <f aca="false">MAX(R280,Q281)</f>
        <v>11864.3506047878</v>
      </c>
      <c r="S281" s="30" t="n">
        <f aca="false">Q281/R281-1</f>
        <v>-0.0535685171487341</v>
      </c>
      <c r="T281" s="31" t="n">
        <f aca="false">DATE(YEAR(F281),MONTH(F281),1)</f>
        <v>42675</v>
      </c>
    </row>
    <row r="282" customFormat="false" ht="15" hidden="false" customHeight="true" outlineLevel="0" collapsed="false">
      <c r="A282" s="4" t="n">
        <v>281</v>
      </c>
      <c r="B282" s="4" t="s">
        <v>27</v>
      </c>
      <c r="C282" s="4" t="s">
        <v>53</v>
      </c>
      <c r="D282" s="23" t="n">
        <v>42683.9166666667</v>
      </c>
      <c r="E282" s="23" t="n">
        <v>42684.25</v>
      </c>
      <c r="F282" s="23" t="n">
        <v>42685.4166666667</v>
      </c>
      <c r="G282" s="4" t="n">
        <f aca="false">YEAR(E282)</f>
        <v>2016</v>
      </c>
      <c r="H282" s="4" t="str">
        <f aca="false">IF(E282&lt;DATE(2015,1,1),"2005–2014",IF(E282&lt;DATE(2022,3,5),"2015 – Mar 2022","Mar 2022 – Oct 2026"))</f>
        <v>2015 – Mar 2022</v>
      </c>
      <c r="I282" s="24" t="n">
        <v>130.764</v>
      </c>
      <c r="J282" s="24" t="n">
        <v>130.062</v>
      </c>
      <c r="K282" s="24" t="n">
        <v>134.72</v>
      </c>
      <c r="L282" s="25" t="n">
        <v>5.636</v>
      </c>
      <c r="M282" s="26" t="n">
        <v>70.201</v>
      </c>
      <c r="N282" s="4" t="s">
        <v>33</v>
      </c>
      <c r="O282" s="27" t="n">
        <v>5.6358</v>
      </c>
      <c r="P282" s="28" t="n">
        <f aca="false">Summary!$C$6*O282</f>
        <v>0.028179</v>
      </c>
      <c r="Q282" s="29" t="n">
        <f aca="false">Q281*(1+P282)</f>
        <v>11545.211148457</v>
      </c>
      <c r="R282" s="29" t="n">
        <f aca="false">MAX(R281,Q282)</f>
        <v>11864.3506047878</v>
      </c>
      <c r="S282" s="30" t="n">
        <f aca="false">Q282/R282-1</f>
        <v>-0.0268990243934683</v>
      </c>
      <c r="T282" s="31" t="n">
        <f aca="false">DATE(YEAR(F282),MONTH(F282),1)</f>
        <v>42675</v>
      </c>
    </row>
    <row r="283" customFormat="false" ht="15" hidden="false" customHeight="true" outlineLevel="0" collapsed="false">
      <c r="A283" s="4" t="n">
        <v>282</v>
      </c>
      <c r="B283" s="4" t="s">
        <v>27</v>
      </c>
      <c r="C283" s="4" t="s">
        <v>54</v>
      </c>
      <c r="D283" s="23" t="n">
        <v>42814.9166666667</v>
      </c>
      <c r="E283" s="23" t="n">
        <v>42815.2708333333</v>
      </c>
      <c r="F283" s="23" t="n">
        <v>42815.375</v>
      </c>
      <c r="G283" s="4" t="n">
        <f aca="false">YEAR(E283)</f>
        <v>2017</v>
      </c>
      <c r="H283" s="4" t="str">
        <f aca="false">IF(E283&lt;DATE(2015,1,1),"2005–2014",IF(E283&lt;DATE(2022,3,5),"2015 – Mar 2022","Mar 2022 – Oct 2026"))</f>
        <v>2015 – Mar 2022</v>
      </c>
      <c r="I283" s="24" t="n">
        <v>139.266</v>
      </c>
      <c r="J283" s="24" t="n">
        <v>139.813</v>
      </c>
      <c r="K283" s="24" t="n">
        <v>137.249</v>
      </c>
      <c r="L283" s="25" t="n">
        <v>3.686</v>
      </c>
      <c r="M283" s="26" t="n">
        <v>54.732</v>
      </c>
      <c r="N283" s="4" t="s">
        <v>34</v>
      </c>
      <c r="O283" s="27" t="n">
        <v>-1.0137</v>
      </c>
      <c r="P283" s="28" t="n">
        <f aca="false">Summary!$C$6*O283</f>
        <v>-0.0050685</v>
      </c>
      <c r="Q283" s="29" t="n">
        <f aca="false">Q282*(1+P283)</f>
        <v>11486.694245751</v>
      </c>
      <c r="R283" s="29" t="n">
        <f aca="false">MAX(R282,Q283)</f>
        <v>11864.3506047878</v>
      </c>
      <c r="S283" s="30" t="n">
        <f aca="false">Q283/R283-1</f>
        <v>-0.03183118668833</v>
      </c>
      <c r="T283" s="31" t="n">
        <f aca="false">DATE(YEAR(F283),MONTH(F283),1)</f>
        <v>42795</v>
      </c>
    </row>
    <row r="284" customFormat="false" ht="15" hidden="false" customHeight="true" outlineLevel="0" collapsed="false">
      <c r="A284" s="4" t="n">
        <v>283</v>
      </c>
      <c r="B284" s="4" t="s">
        <v>27</v>
      </c>
      <c r="C284" s="4" t="s">
        <v>54</v>
      </c>
      <c r="D284" s="23" t="n">
        <v>42815.9166666667</v>
      </c>
      <c r="E284" s="23" t="n">
        <v>42816.2708333333</v>
      </c>
      <c r="F284" s="23" t="n">
        <v>42817.0625</v>
      </c>
      <c r="G284" s="4" t="n">
        <f aca="false">YEAR(E284)</f>
        <v>2017</v>
      </c>
      <c r="H284" s="4" t="str">
        <f aca="false">IF(E284&lt;DATE(2015,1,1),"2005–2014",IF(E284&lt;DATE(2022,3,5),"2015 – Mar 2022","Mar 2022 – Oct 2026"))</f>
        <v>2015 – Mar 2022</v>
      </c>
      <c r="I284" s="24" t="n">
        <v>139.22</v>
      </c>
      <c r="J284" s="24" t="n">
        <v>139.772</v>
      </c>
      <c r="K284" s="24" t="n">
        <v>137.249</v>
      </c>
      <c r="L284" s="25" t="n">
        <v>3.571</v>
      </c>
      <c r="M284" s="26" t="n">
        <v>55.192</v>
      </c>
      <c r="N284" s="4" t="s">
        <v>35</v>
      </c>
      <c r="O284" s="27" t="n">
        <v>0.0408</v>
      </c>
      <c r="P284" s="28" t="n">
        <f aca="false">Summary!$C$6*O284</f>
        <v>0.000204</v>
      </c>
      <c r="Q284" s="29" t="n">
        <f aca="false">Q283*(1+P284)</f>
        <v>11489.0375313772</v>
      </c>
      <c r="R284" s="29" t="n">
        <f aca="false">MAX(R283,Q284)</f>
        <v>11864.3506047878</v>
      </c>
      <c r="S284" s="30" t="n">
        <f aca="false">Q284/R284-1</f>
        <v>-0.0316336802504142</v>
      </c>
      <c r="T284" s="31" t="n">
        <f aca="false">DATE(YEAR(F284),MONTH(F284),1)</f>
        <v>42795</v>
      </c>
    </row>
    <row r="285" customFormat="false" ht="15" hidden="false" customHeight="true" outlineLevel="0" collapsed="false">
      <c r="A285" s="4" t="n">
        <v>284</v>
      </c>
      <c r="B285" s="4" t="s">
        <v>27</v>
      </c>
      <c r="C285" s="4" t="s">
        <v>54</v>
      </c>
      <c r="D285" s="23" t="n">
        <v>42844.9166666667</v>
      </c>
      <c r="E285" s="23" t="n">
        <v>42845.9166666667</v>
      </c>
      <c r="F285" s="23" t="n">
        <v>42848.875</v>
      </c>
      <c r="G285" s="4" t="n">
        <f aca="false">YEAR(E285)</f>
        <v>2017</v>
      </c>
      <c r="H285" s="4" t="str">
        <f aca="false">IF(E285&lt;DATE(2015,1,1),"2005–2014",IF(E285&lt;DATE(2022,3,5),"2015 – Mar 2022","Mar 2022 – Oct 2026"))</f>
        <v>2015 – Mar 2022</v>
      </c>
      <c r="I285" s="24" t="n">
        <v>140.018</v>
      </c>
      <c r="J285" s="24" t="n">
        <v>140.583</v>
      </c>
      <c r="K285" s="24" t="n">
        <v>138.181</v>
      </c>
      <c r="L285" s="25" t="n">
        <v>3.254</v>
      </c>
      <c r="M285" s="26" t="n">
        <v>56.461</v>
      </c>
      <c r="N285" s="4" t="s">
        <v>35</v>
      </c>
      <c r="O285" s="27" t="n">
        <v>-3.5396</v>
      </c>
      <c r="P285" s="28" t="n">
        <f aca="false">Summary!$C$6*O285</f>
        <v>-0.017698</v>
      </c>
      <c r="Q285" s="29" t="n">
        <f aca="false">Q284*(1+P285)</f>
        <v>11285.7045451468</v>
      </c>
      <c r="R285" s="29" t="n">
        <f aca="false">MAX(R284,Q285)</f>
        <v>11864.3506047878</v>
      </c>
      <c r="S285" s="30" t="n">
        <f aca="false">Q285/R285-1</f>
        <v>-0.0487718273773424</v>
      </c>
      <c r="T285" s="31" t="n">
        <f aca="false">DATE(YEAR(F285),MONTH(F285),1)</f>
        <v>42826</v>
      </c>
    </row>
    <row r="286" customFormat="false" ht="15" hidden="false" customHeight="true" outlineLevel="0" collapsed="false">
      <c r="A286" s="4" t="n">
        <v>285</v>
      </c>
      <c r="B286" s="4" t="s">
        <v>28</v>
      </c>
      <c r="C286" s="4" t="s">
        <v>54</v>
      </c>
      <c r="D286" s="23" t="n">
        <v>42881.9166666667</v>
      </c>
      <c r="E286" s="23" t="n">
        <v>42887.5729166667</v>
      </c>
      <c r="F286" s="23" t="n">
        <v>42894.875</v>
      </c>
      <c r="G286" s="4" t="n">
        <f aca="false">YEAR(E286)</f>
        <v>2017</v>
      </c>
      <c r="H286" s="4" t="str">
        <f aca="false">IF(E286&lt;DATE(2015,1,1),"2005–2014",IF(E286&lt;DATE(2022,3,5),"2015 – Mar 2022","Mar 2022 – Oct 2026"))</f>
        <v>2015 – Mar 2022</v>
      </c>
      <c r="I286" s="24" t="n">
        <v>143.484</v>
      </c>
      <c r="J286" s="24" t="n">
        <v>144.058</v>
      </c>
      <c r="K286" s="24" t="n">
        <v>140.424</v>
      </c>
      <c r="L286" s="25" t="n">
        <v>5.337</v>
      </c>
      <c r="M286" s="26" t="n">
        <v>57.338</v>
      </c>
      <c r="N286" s="4" t="s">
        <v>33</v>
      </c>
      <c r="O286" s="27" t="n">
        <v>5.3373</v>
      </c>
      <c r="P286" s="28" t="n">
        <f aca="false">Summary!$C$6*O286</f>
        <v>0.0266865</v>
      </c>
      <c r="Q286" s="29" t="n">
        <f aca="false">Q285*(1+P286)</f>
        <v>11586.8804994909</v>
      </c>
      <c r="R286" s="29" t="n">
        <f aca="false">MAX(R285,Q286)</f>
        <v>11864.3506047878</v>
      </c>
      <c r="S286" s="30" t="n">
        <f aca="false">Q286/R286-1</f>
        <v>-0.0233868767486478</v>
      </c>
      <c r="T286" s="31" t="n">
        <f aca="false">DATE(YEAR(F286),MONTH(F286),1)</f>
        <v>42887</v>
      </c>
    </row>
    <row r="287" customFormat="false" ht="15" hidden="false" customHeight="true" outlineLevel="0" collapsed="false">
      <c r="A287" s="4" t="n">
        <v>286</v>
      </c>
      <c r="B287" s="4" t="s">
        <v>27</v>
      </c>
      <c r="C287" s="4" t="s">
        <v>53</v>
      </c>
      <c r="D287" s="23" t="n">
        <v>42895.9166666667</v>
      </c>
      <c r="E287" s="23" t="n">
        <v>42898.2083333333</v>
      </c>
      <c r="F287" s="23" t="n">
        <v>42898.3645833333</v>
      </c>
      <c r="G287" s="4" t="n">
        <f aca="false">YEAR(E287)</f>
        <v>2017</v>
      </c>
      <c r="H287" s="4" t="str">
        <f aca="false">IF(E287&lt;DATE(2015,1,1),"2005–2014",IF(E287&lt;DATE(2022,3,5),"2015 – Mar 2022","Mar 2022 – Oct 2026"))</f>
        <v>2015 – Mar 2022</v>
      </c>
      <c r="I287" s="24" t="n">
        <v>140.608</v>
      </c>
      <c r="J287" s="24" t="n">
        <v>139.972</v>
      </c>
      <c r="K287" s="24" t="n">
        <v>142.845</v>
      </c>
      <c r="L287" s="25" t="n">
        <v>3.521</v>
      </c>
      <c r="M287" s="26" t="n">
        <v>63.554</v>
      </c>
      <c r="N287" s="4" t="s">
        <v>34</v>
      </c>
      <c r="O287" s="27" t="n">
        <v>-1.0118</v>
      </c>
      <c r="P287" s="28" t="n">
        <f aca="false">Summary!$C$6*O287</f>
        <v>-0.005059</v>
      </c>
      <c r="Q287" s="29" t="n">
        <f aca="false">Q286*(1+P287)</f>
        <v>11528.262471044</v>
      </c>
      <c r="R287" s="29" t="n">
        <f aca="false">MAX(R286,Q287)</f>
        <v>11864.3506047878</v>
      </c>
      <c r="S287" s="30" t="n">
        <f aca="false">Q287/R287-1</f>
        <v>-0.0283275625391763</v>
      </c>
      <c r="T287" s="31" t="n">
        <f aca="false">DATE(YEAR(F287),MONTH(F287),1)</f>
        <v>42887</v>
      </c>
    </row>
    <row r="288" customFormat="false" ht="15" hidden="false" customHeight="true" outlineLevel="0" collapsed="false">
      <c r="A288" s="4" t="n">
        <v>287</v>
      </c>
      <c r="B288" s="4" t="s">
        <v>28</v>
      </c>
      <c r="C288" s="4" t="s">
        <v>54</v>
      </c>
      <c r="D288" s="23" t="n">
        <v>42898.9166666667</v>
      </c>
      <c r="E288" s="23" t="n">
        <v>42899.34375</v>
      </c>
      <c r="F288" s="23" t="n">
        <v>42900.2604166667</v>
      </c>
      <c r="G288" s="4" t="n">
        <f aca="false">YEAR(E288)</f>
        <v>2017</v>
      </c>
      <c r="H288" s="4" t="str">
        <f aca="false">IF(E288&lt;DATE(2015,1,1),"2005–2014",IF(E288&lt;DATE(2022,3,5),"2015 – Mar 2022","Mar 2022 – Oct 2026"))</f>
        <v>2015 – Mar 2022</v>
      </c>
      <c r="I288" s="24" t="n">
        <v>140.018</v>
      </c>
      <c r="J288" s="24" t="n">
        <v>140.671</v>
      </c>
      <c r="K288" s="24" t="n">
        <v>137.262</v>
      </c>
      <c r="L288" s="25" t="n">
        <v>4.223</v>
      </c>
      <c r="M288" s="26" t="n">
        <v>65.273</v>
      </c>
      <c r="N288" s="4" t="s">
        <v>34</v>
      </c>
      <c r="O288" s="27" t="n">
        <v>-1.0115</v>
      </c>
      <c r="P288" s="28" t="n">
        <f aca="false">Summary!$C$6*O288</f>
        <v>-0.0050575</v>
      </c>
      <c r="Q288" s="29" t="n">
        <f aca="false">Q287*(1+P288)</f>
        <v>11469.9582835967</v>
      </c>
      <c r="R288" s="29" t="n">
        <f aca="false">MAX(R287,Q288)</f>
        <v>11864.3506047878</v>
      </c>
      <c r="S288" s="30" t="n">
        <f aca="false">Q288/R288-1</f>
        <v>-0.0332417958916346</v>
      </c>
      <c r="T288" s="31" t="n">
        <f aca="false">DATE(YEAR(F288),MONTH(F288),1)</f>
        <v>42887</v>
      </c>
    </row>
    <row r="289" customFormat="false" ht="15" hidden="false" customHeight="true" outlineLevel="0" collapsed="false">
      <c r="A289" s="4" t="n">
        <v>288</v>
      </c>
      <c r="B289" s="4" t="s">
        <v>27</v>
      </c>
      <c r="C289" s="4" t="s">
        <v>53</v>
      </c>
      <c r="D289" s="23" t="n">
        <v>42900.9166666667</v>
      </c>
      <c r="E289" s="23" t="n">
        <v>42901.21875</v>
      </c>
      <c r="F289" s="23" t="n">
        <v>42902</v>
      </c>
      <c r="G289" s="4" t="n">
        <f aca="false">YEAR(E289)</f>
        <v>2017</v>
      </c>
      <c r="H289" s="4" t="str">
        <f aca="false">IF(E289&lt;DATE(2015,1,1),"2005–2014",IF(E289&lt;DATE(2022,3,5),"2015 – Mar 2022","Mar 2022 – Oct 2026"))</f>
        <v>2015 – Mar 2022</v>
      </c>
      <c r="I289" s="24" t="n">
        <v>139.744</v>
      </c>
      <c r="J289" s="24" t="n">
        <v>139.092</v>
      </c>
      <c r="K289" s="24" t="n">
        <v>141.788</v>
      </c>
      <c r="L289" s="25" t="n">
        <v>3.135</v>
      </c>
      <c r="M289" s="26" t="n">
        <v>65.22</v>
      </c>
      <c r="N289" s="4" t="s">
        <v>33</v>
      </c>
      <c r="O289" s="27" t="n">
        <v>3.1347</v>
      </c>
      <c r="P289" s="28" t="n">
        <f aca="false">Summary!$C$6*O289</f>
        <v>0.0156735</v>
      </c>
      <c r="Q289" s="29" t="n">
        <f aca="false">Q288*(1+P289)</f>
        <v>11649.7326747546</v>
      </c>
      <c r="R289" s="29" t="n">
        <f aca="false">MAX(R288,Q289)</f>
        <v>11864.3506047878</v>
      </c>
      <c r="S289" s="30" t="n">
        <f aca="false">Q289/R289-1</f>
        <v>-0.0180893111795423</v>
      </c>
      <c r="T289" s="31" t="n">
        <f aca="false">DATE(YEAR(F289),MONTH(F289),1)</f>
        <v>42887</v>
      </c>
    </row>
    <row r="290" customFormat="false" ht="15" hidden="false" customHeight="true" outlineLevel="0" collapsed="false">
      <c r="A290" s="4" t="n">
        <v>289</v>
      </c>
      <c r="B290" s="4" t="s">
        <v>27</v>
      </c>
      <c r="C290" s="4" t="s">
        <v>53</v>
      </c>
      <c r="D290" s="23" t="n">
        <v>42907.9166666667</v>
      </c>
      <c r="E290" s="23" t="n">
        <v>42908.2916666667</v>
      </c>
      <c r="F290" s="23" t="n">
        <v>42913.5104166667</v>
      </c>
      <c r="G290" s="4" t="n">
        <f aca="false">YEAR(E290)</f>
        <v>2017</v>
      </c>
      <c r="H290" s="4" t="str">
        <f aca="false">IF(E290&lt;DATE(2015,1,1),"2005–2014",IF(E290&lt;DATE(2022,3,5),"2015 – Mar 2022","Mar 2022 – Oct 2026"))</f>
        <v>2015 – Mar 2022</v>
      </c>
      <c r="I290" s="24" t="n">
        <v>140.864</v>
      </c>
      <c r="J290" s="24" t="n">
        <v>140.205</v>
      </c>
      <c r="K290" s="24" t="n">
        <v>142.843</v>
      </c>
      <c r="L290" s="25" t="n">
        <v>3.003</v>
      </c>
      <c r="M290" s="26" t="n">
        <v>65.893</v>
      </c>
      <c r="N290" s="4" t="s">
        <v>33</v>
      </c>
      <c r="O290" s="27" t="n">
        <v>3.0028</v>
      </c>
      <c r="P290" s="28" t="n">
        <f aca="false">Summary!$C$6*O290</f>
        <v>0.015014</v>
      </c>
      <c r="Q290" s="29" t="n">
        <f aca="false">Q289*(1+P290)</f>
        <v>11824.6417611334</v>
      </c>
      <c r="R290" s="29" t="n">
        <f aca="false">MAX(R289,Q290)</f>
        <v>11864.3506047878</v>
      </c>
      <c r="S290" s="30" t="n">
        <f aca="false">Q290/R290-1</f>
        <v>-0.00334690409759175</v>
      </c>
      <c r="T290" s="31" t="n">
        <f aca="false">DATE(YEAR(F290),MONTH(F290),1)</f>
        <v>42887</v>
      </c>
    </row>
    <row r="291" customFormat="false" ht="15" hidden="false" customHeight="true" outlineLevel="0" collapsed="false">
      <c r="A291" s="4" t="n">
        <v>290</v>
      </c>
      <c r="B291" s="4" t="s">
        <v>27</v>
      </c>
      <c r="C291" s="4" t="s">
        <v>54</v>
      </c>
      <c r="D291" s="23" t="n">
        <v>42951.9166666667</v>
      </c>
      <c r="E291" s="23" t="n">
        <v>42954.0625</v>
      </c>
      <c r="F291" s="23" t="n">
        <v>42956.03125</v>
      </c>
      <c r="G291" s="4" t="n">
        <f aca="false">YEAR(E291)</f>
        <v>2017</v>
      </c>
      <c r="H291" s="4" t="str">
        <f aca="false">IF(E291&lt;DATE(2015,1,1),"2005–2014",IF(E291&lt;DATE(2022,3,5),"2015 – Mar 2022","Mar 2022 – Oct 2026"))</f>
        <v>2015 – Mar 2022</v>
      </c>
      <c r="I291" s="24" t="n">
        <v>144.488</v>
      </c>
      <c r="J291" s="24" t="n">
        <v>145.015</v>
      </c>
      <c r="K291" s="24" t="n">
        <v>142.548</v>
      </c>
      <c r="L291" s="25" t="n">
        <v>3.683</v>
      </c>
      <c r="M291" s="26" t="n">
        <v>52.665</v>
      </c>
      <c r="N291" s="4" t="s">
        <v>33</v>
      </c>
      <c r="O291" s="27" t="n">
        <v>3.6832</v>
      </c>
      <c r="P291" s="28" t="n">
        <f aca="false">Summary!$C$6*O291</f>
        <v>0.018416</v>
      </c>
      <c r="Q291" s="29" t="n">
        <f aca="false">Q290*(1+P291)</f>
        <v>12042.4043638064</v>
      </c>
      <c r="R291" s="29" t="n">
        <f aca="false">MAX(R290,Q291)</f>
        <v>12042.4043638064</v>
      </c>
      <c r="S291" s="30" t="n">
        <f aca="false">Q291/R291-1</f>
        <v>0</v>
      </c>
      <c r="T291" s="31" t="n">
        <f aca="false">DATE(YEAR(F291),MONTH(F291),1)</f>
        <v>42948</v>
      </c>
    </row>
    <row r="292" customFormat="false" ht="15" hidden="false" customHeight="true" outlineLevel="0" collapsed="false">
      <c r="A292" s="4" t="n">
        <v>291</v>
      </c>
      <c r="B292" s="4" t="s">
        <v>27</v>
      </c>
      <c r="C292" s="4" t="s">
        <v>53</v>
      </c>
      <c r="D292" s="23" t="n">
        <v>42965.9166666667</v>
      </c>
      <c r="E292" s="23" t="n">
        <v>42968.1666666667</v>
      </c>
      <c r="F292" s="23" t="n">
        <v>42968.2916666667</v>
      </c>
      <c r="G292" s="4" t="n">
        <f aca="false">YEAR(E292)</f>
        <v>2017</v>
      </c>
      <c r="H292" s="4" t="str">
        <f aca="false">IF(E292&lt;DATE(2015,1,1),"2005–2014",IF(E292&lt;DATE(2022,3,5),"2015 – Mar 2022","Mar 2022 – Oct 2026"))</f>
        <v>2015 – Mar 2022</v>
      </c>
      <c r="I292" s="24" t="n">
        <v>140.674</v>
      </c>
      <c r="J292" s="24" t="n">
        <v>140.171</v>
      </c>
      <c r="K292" s="24" t="n">
        <v>142.423</v>
      </c>
      <c r="L292" s="25" t="n">
        <v>3.475</v>
      </c>
      <c r="M292" s="26" t="n">
        <v>50.324</v>
      </c>
      <c r="N292" s="4" t="s">
        <v>34</v>
      </c>
      <c r="O292" s="27" t="n">
        <v>-1.0149</v>
      </c>
      <c r="P292" s="28" t="n">
        <f aca="false">Summary!$C$6*O292</f>
        <v>-0.0050745</v>
      </c>
      <c r="Q292" s="29" t="n">
        <f aca="false">Q291*(1+P292)</f>
        <v>11981.2951828623</v>
      </c>
      <c r="R292" s="29" t="n">
        <f aca="false">MAX(R291,Q292)</f>
        <v>12042.4043638064</v>
      </c>
      <c r="S292" s="30" t="n">
        <f aca="false">Q292/R292-1</f>
        <v>-0.00507449999999998</v>
      </c>
      <c r="T292" s="31" t="n">
        <f aca="false">DATE(YEAR(F292),MONTH(F292),1)</f>
        <v>42948</v>
      </c>
    </row>
    <row r="293" customFormat="false" ht="15" hidden="false" customHeight="true" outlineLevel="0" collapsed="false">
      <c r="A293" s="4" t="n">
        <v>292</v>
      </c>
      <c r="B293" s="4" t="s">
        <v>27</v>
      </c>
      <c r="C293" s="4" t="s">
        <v>53</v>
      </c>
      <c r="D293" s="23" t="n">
        <v>42968.9166666667</v>
      </c>
      <c r="E293" s="23" t="n">
        <v>42969.3020833333</v>
      </c>
      <c r="F293" s="23" t="n">
        <v>42969.3958333333</v>
      </c>
      <c r="G293" s="4" t="n">
        <f aca="false">YEAR(E293)</f>
        <v>2017</v>
      </c>
      <c r="H293" s="4" t="str">
        <f aca="false">IF(E293&lt;DATE(2015,1,1),"2005–2014",IF(E293&lt;DATE(2022,3,5),"2015 – Mar 2022","Mar 2022 – Oct 2026"))</f>
        <v>2015 – Mar 2022</v>
      </c>
      <c r="I293" s="24" t="n">
        <v>140.671</v>
      </c>
      <c r="J293" s="24" t="n">
        <v>140.182</v>
      </c>
      <c r="K293" s="24" t="n">
        <v>142.255</v>
      </c>
      <c r="L293" s="25" t="n">
        <v>3.238</v>
      </c>
      <c r="M293" s="26" t="n">
        <v>48.932</v>
      </c>
      <c r="N293" s="4" t="s">
        <v>34</v>
      </c>
      <c r="O293" s="27" t="n">
        <v>-1.0153</v>
      </c>
      <c r="P293" s="28" t="n">
        <f aca="false">Summary!$C$6*O293</f>
        <v>-0.0050765</v>
      </c>
      <c r="Q293" s="29" t="n">
        <f aca="false">Q292*(1+P293)</f>
        <v>11920.4721378665</v>
      </c>
      <c r="R293" s="29" t="n">
        <f aca="false">MAX(R292,Q293)</f>
        <v>12042.4043638064</v>
      </c>
      <c r="S293" s="30" t="n">
        <f aca="false">Q293/R293-1</f>
        <v>-0.0101252393007499</v>
      </c>
      <c r="T293" s="31" t="n">
        <f aca="false">DATE(YEAR(F293),MONTH(F293),1)</f>
        <v>42948</v>
      </c>
    </row>
    <row r="294" customFormat="false" ht="15" hidden="false" customHeight="true" outlineLevel="0" collapsed="false">
      <c r="A294" s="4" t="n">
        <v>293</v>
      </c>
      <c r="B294" s="4" t="s">
        <v>27</v>
      </c>
      <c r="C294" s="4" t="s">
        <v>53</v>
      </c>
      <c r="D294" s="23" t="n">
        <v>42969.9166666667</v>
      </c>
      <c r="E294" s="23" t="n">
        <v>42970.71875</v>
      </c>
      <c r="F294" s="23" t="n">
        <v>42976.7708333333</v>
      </c>
      <c r="G294" s="4" t="n">
        <f aca="false">YEAR(E294)</f>
        <v>2017</v>
      </c>
      <c r="H294" s="4" t="str">
        <f aca="false">IF(E294&lt;DATE(2015,1,1),"2005–2014",IF(E294&lt;DATE(2022,3,5),"2015 – Mar 2022","Mar 2022 – Oct 2026"))</f>
        <v>2015 – Mar 2022</v>
      </c>
      <c r="I294" s="24" t="n">
        <v>139.711</v>
      </c>
      <c r="J294" s="24" t="n">
        <v>139.228</v>
      </c>
      <c r="K294" s="24" t="n">
        <v>141.575</v>
      </c>
      <c r="L294" s="25" t="n">
        <v>3.858</v>
      </c>
      <c r="M294" s="26" t="n">
        <v>48.321</v>
      </c>
      <c r="N294" s="4" t="s">
        <v>33</v>
      </c>
      <c r="O294" s="27" t="n">
        <v>3.8577</v>
      </c>
      <c r="P294" s="28" t="n">
        <f aca="false">Summary!$C$6*O294</f>
        <v>0.0192885</v>
      </c>
      <c r="Q294" s="29" t="n">
        <f aca="false">Q293*(1+P294)</f>
        <v>12150.4001646977</v>
      </c>
      <c r="R294" s="29" t="n">
        <f aca="false">MAX(R293,Q294)</f>
        <v>12150.4001646977</v>
      </c>
      <c r="S294" s="30" t="n">
        <f aca="false">Q294/R294-1</f>
        <v>0</v>
      </c>
      <c r="T294" s="31" t="n">
        <f aca="false">DATE(YEAR(F294),MONTH(F294),1)</f>
        <v>42948</v>
      </c>
    </row>
    <row r="295" customFormat="false" ht="15" hidden="false" customHeight="true" outlineLevel="0" collapsed="false">
      <c r="A295" s="4" t="n">
        <v>294</v>
      </c>
      <c r="B295" s="4" t="s">
        <v>28</v>
      </c>
      <c r="C295" s="4" t="s">
        <v>53</v>
      </c>
      <c r="D295" s="23" t="n">
        <v>42977.9166666667</v>
      </c>
      <c r="E295" s="23" t="n">
        <v>42978.6041666667</v>
      </c>
      <c r="F295" s="23" t="n">
        <v>42981.875</v>
      </c>
      <c r="G295" s="4" t="n">
        <f aca="false">YEAR(E295)</f>
        <v>2017</v>
      </c>
      <c r="H295" s="4" t="str">
        <f aca="false">IF(E295&lt;DATE(2015,1,1),"2005–2014",IF(E295&lt;DATE(2022,3,5),"2015 – Mar 2022","Mar 2022 – Oct 2026"))</f>
        <v>2015 – Mar 2022</v>
      </c>
      <c r="I295" s="24" t="n">
        <v>141.879</v>
      </c>
      <c r="J295" s="24" t="n">
        <v>141.385</v>
      </c>
      <c r="K295" s="24" t="n">
        <v>143.402</v>
      </c>
      <c r="L295" s="25" t="n">
        <v>3.087</v>
      </c>
      <c r="M295" s="26" t="n">
        <v>49.339</v>
      </c>
      <c r="N295" s="4" t="s">
        <v>35</v>
      </c>
      <c r="O295" s="27" t="n">
        <v>0.0456</v>
      </c>
      <c r="P295" s="28" t="n">
        <f aca="false">Summary!$C$6*O295</f>
        <v>0.000228</v>
      </c>
      <c r="Q295" s="29" t="n">
        <f aca="false">Q294*(1+P295)</f>
        <v>12153.1704559353</v>
      </c>
      <c r="R295" s="29" t="n">
        <f aca="false">MAX(R294,Q295)</f>
        <v>12153.1704559353</v>
      </c>
      <c r="S295" s="30" t="n">
        <f aca="false">Q295/R295-1</f>
        <v>0</v>
      </c>
      <c r="T295" s="31" t="n">
        <f aca="false">DATE(YEAR(F295),MONTH(F295),1)</f>
        <v>42979</v>
      </c>
    </row>
    <row r="296" customFormat="false" ht="15" hidden="false" customHeight="true" outlineLevel="0" collapsed="false">
      <c r="A296" s="4" t="n">
        <v>295</v>
      </c>
      <c r="B296" s="4" t="s">
        <v>28</v>
      </c>
      <c r="C296" s="4" t="s">
        <v>54</v>
      </c>
      <c r="D296" s="23" t="n">
        <v>42982.9166666667</v>
      </c>
      <c r="E296" s="23" t="n">
        <v>42984.5729166667</v>
      </c>
      <c r="F296" s="23" t="n">
        <v>42986.5208333333</v>
      </c>
      <c r="G296" s="4" t="n">
        <f aca="false">YEAR(E296)</f>
        <v>2017</v>
      </c>
      <c r="H296" s="4" t="str">
        <f aca="false">IF(E296&lt;DATE(2015,1,1),"2005–2014",IF(E296&lt;DATE(2022,3,5),"2015 – Mar 2022","Mar 2022 – Oct 2026"))</f>
        <v>2015 – Mar 2022</v>
      </c>
      <c r="I296" s="24" t="n">
        <v>142.338</v>
      </c>
      <c r="J296" s="24" t="n">
        <v>142.829</v>
      </c>
      <c r="K296" s="24" t="n">
        <v>140.764</v>
      </c>
      <c r="L296" s="25" t="n">
        <v>3.201</v>
      </c>
      <c r="M296" s="26" t="n">
        <v>49.165</v>
      </c>
      <c r="N296" s="4" t="s">
        <v>35</v>
      </c>
      <c r="O296" s="27" t="n">
        <v>0.0458</v>
      </c>
      <c r="P296" s="28" t="n">
        <f aca="false">Summary!$C$6*O296</f>
        <v>0.000229</v>
      </c>
      <c r="Q296" s="29" t="n">
        <f aca="false">Q295*(1+P296)</f>
        <v>12155.9535319697</v>
      </c>
      <c r="R296" s="29" t="n">
        <f aca="false">MAX(R295,Q296)</f>
        <v>12155.9535319697</v>
      </c>
      <c r="S296" s="30" t="n">
        <f aca="false">Q296/R296-1</f>
        <v>0</v>
      </c>
      <c r="T296" s="31" t="n">
        <f aca="false">DATE(YEAR(F296),MONTH(F296),1)</f>
        <v>42979</v>
      </c>
    </row>
    <row r="297" customFormat="false" ht="15" hidden="false" customHeight="true" outlineLevel="0" collapsed="false">
      <c r="A297" s="4" t="n">
        <v>296</v>
      </c>
      <c r="B297" s="4" t="s">
        <v>27</v>
      </c>
      <c r="C297" s="4" t="s">
        <v>53</v>
      </c>
      <c r="D297" s="23" t="n">
        <v>43047.9166666667</v>
      </c>
      <c r="E297" s="23" t="n">
        <v>43048.2083333333</v>
      </c>
      <c r="F297" s="23" t="n">
        <v>43048.375</v>
      </c>
      <c r="G297" s="4" t="n">
        <f aca="false">YEAR(E297)</f>
        <v>2017</v>
      </c>
      <c r="H297" s="4" t="str">
        <f aca="false">IF(E297&lt;DATE(2015,1,1),"2005–2014",IF(E297&lt;DATE(2022,3,5),"2015 – Mar 2022","Mar 2022 – Oct 2026"))</f>
        <v>2015 – Mar 2022</v>
      </c>
      <c r="I297" s="24" t="n">
        <v>149.374</v>
      </c>
      <c r="J297" s="24" t="n">
        <v>148.826</v>
      </c>
      <c r="K297" s="24" t="n">
        <v>151.169</v>
      </c>
      <c r="L297" s="25" t="n">
        <v>3.277</v>
      </c>
      <c r="M297" s="26" t="n">
        <v>54.79</v>
      </c>
      <c r="N297" s="4" t="s">
        <v>34</v>
      </c>
      <c r="O297" s="27" t="n">
        <v>-1.0137</v>
      </c>
      <c r="P297" s="28" t="n">
        <f aca="false">Summary!$C$6*O297</f>
        <v>-0.0050685</v>
      </c>
      <c r="Q297" s="29" t="n">
        <f aca="false">Q296*(1+P297)</f>
        <v>12094.3410814929</v>
      </c>
      <c r="R297" s="29" t="n">
        <f aca="false">MAX(R296,Q297)</f>
        <v>12155.9535319697</v>
      </c>
      <c r="S297" s="30" t="n">
        <f aca="false">Q297/R297-1</f>
        <v>-0.00506850000000003</v>
      </c>
      <c r="T297" s="31" t="n">
        <f aca="false">DATE(YEAR(F297),MONTH(F297),1)</f>
        <v>43040</v>
      </c>
    </row>
    <row r="298" customFormat="false" ht="15" hidden="false" customHeight="true" outlineLevel="0" collapsed="false">
      <c r="A298" s="4" t="n">
        <v>297</v>
      </c>
      <c r="B298" s="4" t="s">
        <v>27</v>
      </c>
      <c r="C298" s="4" t="s">
        <v>53</v>
      </c>
      <c r="D298" s="23" t="n">
        <v>43048.9166666667</v>
      </c>
      <c r="E298" s="23" t="n">
        <v>43049.0729166667</v>
      </c>
      <c r="F298" s="23" t="n">
        <v>43051.9791666667</v>
      </c>
      <c r="G298" s="4" t="n">
        <f aca="false">YEAR(E298)</f>
        <v>2017</v>
      </c>
      <c r="H298" s="4" t="str">
        <f aca="false">IF(E298&lt;DATE(2015,1,1),"2005–2014",IF(E298&lt;DATE(2022,3,5),"2015 – Mar 2022","Mar 2022 – Oct 2026"))</f>
        <v>2015 – Mar 2022</v>
      </c>
      <c r="I298" s="24" t="n">
        <v>149.088</v>
      </c>
      <c r="J298" s="24" t="n">
        <v>148.542</v>
      </c>
      <c r="K298" s="24" t="n">
        <v>151.169</v>
      </c>
      <c r="L298" s="25" t="n">
        <v>3.815</v>
      </c>
      <c r="M298" s="26" t="n">
        <v>54.554</v>
      </c>
      <c r="N298" s="4" t="s">
        <v>35</v>
      </c>
      <c r="O298" s="27" t="n">
        <v>0.0412</v>
      </c>
      <c r="P298" s="28" t="n">
        <f aca="false">Summary!$C$6*O298</f>
        <v>0.000206</v>
      </c>
      <c r="Q298" s="29" t="n">
        <f aca="false">Q297*(1+P298)</f>
        <v>12096.8325157557</v>
      </c>
      <c r="R298" s="29" t="n">
        <f aca="false">MAX(R297,Q298)</f>
        <v>12155.9535319697</v>
      </c>
      <c r="S298" s="30" t="n">
        <f aca="false">Q298/R298-1</f>
        <v>-0.0048635441110001</v>
      </c>
      <c r="T298" s="31" t="n">
        <f aca="false">DATE(YEAR(F298),MONTH(F298),1)</f>
        <v>43040</v>
      </c>
    </row>
    <row r="299" customFormat="false" ht="15" hidden="false" customHeight="true" outlineLevel="0" collapsed="false">
      <c r="A299" s="4" t="n">
        <v>298</v>
      </c>
      <c r="B299" s="4" t="s">
        <v>27</v>
      </c>
      <c r="C299" s="4" t="s">
        <v>53</v>
      </c>
      <c r="D299" s="23" t="n">
        <v>43052.9166666667</v>
      </c>
      <c r="E299" s="23" t="n">
        <v>43053.3958333333</v>
      </c>
      <c r="F299" s="23" t="n">
        <v>43054.0833333333</v>
      </c>
      <c r="G299" s="4" t="n">
        <f aca="false">YEAR(E299)</f>
        <v>2017</v>
      </c>
      <c r="H299" s="4" t="str">
        <f aca="false">IF(E299&lt;DATE(2015,1,1),"2005–2014",IF(E299&lt;DATE(2022,3,5),"2015 – Mar 2022","Mar 2022 – Oct 2026"))</f>
        <v>2015 – Mar 2022</v>
      </c>
      <c r="I299" s="24" t="n">
        <v>149.112</v>
      </c>
      <c r="J299" s="24" t="n">
        <v>148.561</v>
      </c>
      <c r="K299" s="24" t="n">
        <v>151.169</v>
      </c>
      <c r="L299" s="25" t="n">
        <v>3.734</v>
      </c>
      <c r="M299" s="26" t="n">
        <v>55.082</v>
      </c>
      <c r="N299" s="4" t="s">
        <v>34</v>
      </c>
      <c r="O299" s="27" t="n">
        <v>-1.0136</v>
      </c>
      <c r="P299" s="28" t="n">
        <f aca="false">Summary!$C$6*O299</f>
        <v>-0.005068</v>
      </c>
      <c r="Q299" s="29" t="n">
        <f aca="false">Q298*(1+P299)</f>
        <v>12035.5257685658</v>
      </c>
      <c r="R299" s="29" t="n">
        <f aca="false">MAX(R298,Q299)</f>
        <v>12155.9535319697</v>
      </c>
      <c r="S299" s="30" t="n">
        <f aca="false">Q299/R299-1</f>
        <v>-0.00990689566944536</v>
      </c>
      <c r="T299" s="31" t="n">
        <f aca="false">DATE(YEAR(F299),MONTH(F299),1)</f>
        <v>43040</v>
      </c>
    </row>
    <row r="300" customFormat="false" ht="15" hidden="false" customHeight="true" outlineLevel="0" collapsed="false">
      <c r="A300" s="4" t="n">
        <v>299</v>
      </c>
      <c r="B300" s="4" t="s">
        <v>28</v>
      </c>
      <c r="C300" s="4" t="s">
        <v>54</v>
      </c>
      <c r="D300" s="23" t="n">
        <v>43054.9166666667</v>
      </c>
      <c r="E300" s="23" t="n">
        <v>43055.40625</v>
      </c>
      <c r="F300" s="23" t="n">
        <v>43059.8020833333</v>
      </c>
      <c r="G300" s="4" t="n">
        <f aca="false">YEAR(E300)</f>
        <v>2017</v>
      </c>
      <c r="H300" s="4" t="str">
        <f aca="false">IF(E300&lt;DATE(2015,1,1),"2005–2014",IF(E300&lt;DATE(2022,3,5),"2015 – Mar 2022","Mar 2022 – Oct 2026"))</f>
        <v>2015 – Mar 2022</v>
      </c>
      <c r="I300" s="24" t="n">
        <v>149.231</v>
      </c>
      <c r="J300" s="24" t="n">
        <v>149.769</v>
      </c>
      <c r="K300" s="24" t="n">
        <v>147.505</v>
      </c>
      <c r="L300" s="25" t="n">
        <v>3.209</v>
      </c>
      <c r="M300" s="26" t="n">
        <v>53.789</v>
      </c>
      <c r="N300" s="4" t="s">
        <v>35</v>
      </c>
      <c r="O300" s="27" t="n">
        <v>0.0418</v>
      </c>
      <c r="P300" s="28" t="n">
        <f aca="false">Summary!$C$6*O300</f>
        <v>0.000209</v>
      </c>
      <c r="Q300" s="29" t="n">
        <f aca="false">Q299*(1+P300)</f>
        <v>12038.0411934515</v>
      </c>
      <c r="R300" s="29" t="n">
        <f aca="false">MAX(R299,Q300)</f>
        <v>12155.9535319697</v>
      </c>
      <c r="S300" s="30" t="n">
        <f aca="false">Q300/R300-1</f>
        <v>-0.0096999662106404</v>
      </c>
      <c r="T300" s="31" t="n">
        <f aca="false">DATE(YEAR(F300),MONTH(F300),1)</f>
        <v>43040</v>
      </c>
    </row>
    <row r="301" customFormat="false" ht="15" hidden="false" customHeight="true" outlineLevel="0" collapsed="false">
      <c r="A301" s="4" t="n">
        <v>300</v>
      </c>
      <c r="B301" s="4" t="s">
        <v>27</v>
      </c>
      <c r="C301" s="4" t="s">
        <v>54</v>
      </c>
      <c r="D301" s="23" t="n">
        <v>43060.9166666667</v>
      </c>
      <c r="E301" s="23" t="n">
        <v>43061.2604166667</v>
      </c>
      <c r="F301" s="23" t="n">
        <v>43063.5833333333</v>
      </c>
      <c r="G301" s="4" t="n">
        <f aca="false">YEAR(E301)</f>
        <v>2017</v>
      </c>
      <c r="H301" s="4" t="str">
        <f aca="false">IF(E301&lt;DATE(2015,1,1),"2005–2014",IF(E301&lt;DATE(2022,3,5),"2015 – Mar 2022","Mar 2022 – Oct 2026"))</f>
        <v>2015 – Mar 2022</v>
      </c>
      <c r="I301" s="24" t="n">
        <v>148.693</v>
      </c>
      <c r="J301" s="24" t="n">
        <v>149.215</v>
      </c>
      <c r="K301" s="24" t="n">
        <v>147.02</v>
      </c>
      <c r="L301" s="25" t="n">
        <v>3.206</v>
      </c>
      <c r="M301" s="26" t="n">
        <v>52.201</v>
      </c>
      <c r="N301" s="4" t="s">
        <v>35</v>
      </c>
      <c r="O301" s="27" t="n">
        <v>0.0431</v>
      </c>
      <c r="P301" s="28" t="n">
        <f aca="false">Summary!$C$6*O301</f>
        <v>0.0002155</v>
      </c>
      <c r="Q301" s="29" t="n">
        <f aca="false">Q300*(1+P301)</f>
        <v>12040.6353913287</v>
      </c>
      <c r="R301" s="29" t="n">
        <f aca="false">MAX(R300,Q301)</f>
        <v>12155.9535319697</v>
      </c>
      <c r="S301" s="30" t="n">
        <f aca="false">Q301/R301-1</f>
        <v>-0.00948655655335884</v>
      </c>
      <c r="T301" s="31" t="n">
        <f aca="false">DATE(YEAR(F301),MONTH(F301),1)</f>
        <v>43040</v>
      </c>
    </row>
    <row r="302" customFormat="false" ht="15" hidden="false" customHeight="true" outlineLevel="0" collapsed="false">
      <c r="A302" s="4" t="n">
        <v>301</v>
      </c>
      <c r="B302" s="4" t="s">
        <v>28</v>
      </c>
      <c r="C302" s="4" t="s">
        <v>53</v>
      </c>
      <c r="D302" s="23" t="n">
        <v>43063.9166666667</v>
      </c>
      <c r="E302" s="23" t="n">
        <v>43066.6666666667</v>
      </c>
      <c r="F302" s="23" t="n">
        <v>43067.65625</v>
      </c>
      <c r="G302" s="4" t="n">
        <f aca="false">YEAR(E302)</f>
        <v>2017</v>
      </c>
      <c r="H302" s="4" t="str">
        <f aca="false">IF(E302&lt;DATE(2015,1,1),"2005–2014",IF(E302&lt;DATE(2022,3,5),"2015 – Mar 2022","Mar 2022 – Oct 2026"))</f>
        <v>2015 – Mar 2022</v>
      </c>
      <c r="I302" s="24" t="n">
        <v>148.01</v>
      </c>
      <c r="J302" s="24" t="n">
        <v>147.519</v>
      </c>
      <c r="K302" s="24" t="n">
        <v>150.392</v>
      </c>
      <c r="L302" s="25" t="n">
        <v>4.855</v>
      </c>
      <c r="M302" s="26" t="n">
        <v>49.077</v>
      </c>
      <c r="N302" s="4" t="s">
        <v>34</v>
      </c>
      <c r="O302" s="27" t="n">
        <v>-1.0153</v>
      </c>
      <c r="P302" s="28" t="n">
        <f aca="false">Summary!$C$6*O302</f>
        <v>-0.0050765</v>
      </c>
      <c r="Q302" s="29" t="n">
        <f aca="false">Q301*(1+P302)</f>
        <v>11979.5111057646</v>
      </c>
      <c r="R302" s="29" t="n">
        <f aca="false">MAX(R301,Q302)</f>
        <v>12155.9535319697</v>
      </c>
      <c r="S302" s="30" t="n">
        <f aca="false">Q302/R302-1</f>
        <v>-0.0145148980490158</v>
      </c>
      <c r="T302" s="31" t="n">
        <f aca="false">DATE(YEAR(F302),MONTH(F302),1)</f>
        <v>43040</v>
      </c>
    </row>
    <row r="303" customFormat="false" ht="15" hidden="false" customHeight="true" outlineLevel="0" collapsed="false">
      <c r="A303" s="4" t="n">
        <v>302</v>
      </c>
      <c r="B303" s="4" t="s">
        <v>27</v>
      </c>
      <c r="C303" s="4" t="s">
        <v>54</v>
      </c>
      <c r="D303" s="23" t="n">
        <v>43077.9166666667</v>
      </c>
      <c r="E303" s="23" t="n">
        <v>43080.1354166667</v>
      </c>
      <c r="F303" s="23" t="n">
        <v>43098.5208333333</v>
      </c>
      <c r="G303" s="4" t="n">
        <f aca="false">YEAR(E303)</f>
        <v>2017</v>
      </c>
      <c r="H303" s="4" t="str">
        <f aca="false">IF(E303&lt;DATE(2015,1,1),"2005–2014",IF(E303&lt;DATE(2022,3,5),"2015 – Mar 2022","Mar 2022 – Oct 2026"))</f>
        <v>2015 – Mar 2022</v>
      </c>
      <c r="I303" s="24" t="n">
        <v>152.183</v>
      </c>
      <c r="J303" s="24" t="n">
        <v>152.808</v>
      </c>
      <c r="K303" s="24" t="n">
        <v>149.327</v>
      </c>
      <c r="L303" s="25" t="n">
        <v>4.57</v>
      </c>
      <c r="M303" s="26" t="n">
        <v>62.496</v>
      </c>
      <c r="N303" s="4" t="s">
        <v>35</v>
      </c>
      <c r="O303" s="27" t="n">
        <v>0.036</v>
      </c>
      <c r="P303" s="28" t="n">
        <f aca="false">Summary!$C$6*O303</f>
        <v>0.00018</v>
      </c>
      <c r="Q303" s="29" t="n">
        <f aca="false">Q302*(1+P303)</f>
        <v>11981.6674177636</v>
      </c>
      <c r="R303" s="29" t="n">
        <f aca="false">MAX(R302,Q303)</f>
        <v>12155.9535319697</v>
      </c>
      <c r="S303" s="30" t="n">
        <f aca="false">Q303/R303-1</f>
        <v>-0.0143375107306646</v>
      </c>
      <c r="T303" s="31" t="n">
        <f aca="false">DATE(YEAR(F303),MONTH(F303),1)</f>
        <v>43070</v>
      </c>
    </row>
    <row r="304" customFormat="false" ht="15" hidden="false" customHeight="true" outlineLevel="0" collapsed="false">
      <c r="A304" s="4" t="n">
        <v>303</v>
      </c>
      <c r="B304" s="4" t="s">
        <v>28</v>
      </c>
      <c r="C304" s="4" t="s">
        <v>54</v>
      </c>
      <c r="D304" s="23" t="n">
        <v>43103.9166666667</v>
      </c>
      <c r="E304" s="23" t="n">
        <v>43104.5</v>
      </c>
      <c r="F304" s="23" t="n">
        <v>43105.1458333333</v>
      </c>
      <c r="G304" s="4" t="n">
        <f aca="false">YEAR(E304)</f>
        <v>2018</v>
      </c>
      <c r="H304" s="4" t="str">
        <f aca="false">IF(E304&lt;DATE(2015,1,1),"2005–2014",IF(E304&lt;DATE(2022,3,5),"2015 – Mar 2022","Mar 2022 – Oct 2026"))</f>
        <v>2015 – Mar 2022</v>
      </c>
      <c r="I304" s="24" t="n">
        <v>152.637</v>
      </c>
      <c r="J304" s="24" t="n">
        <v>153.079</v>
      </c>
      <c r="K304" s="24" t="n">
        <v>151.29</v>
      </c>
      <c r="L304" s="25" t="n">
        <v>3.046</v>
      </c>
      <c r="M304" s="26" t="n">
        <v>44.227</v>
      </c>
      <c r="N304" s="4" t="s">
        <v>34</v>
      </c>
      <c r="O304" s="27" t="n">
        <v>-1.017</v>
      </c>
      <c r="P304" s="28" t="n">
        <f aca="false">Summary!$C$6*O304</f>
        <v>-0.005085</v>
      </c>
      <c r="Q304" s="29" t="n">
        <f aca="false">Q303*(1+P304)</f>
        <v>11920.7406389443</v>
      </c>
      <c r="R304" s="29" t="n">
        <f aca="false">MAX(R303,Q304)</f>
        <v>12155.9535319697</v>
      </c>
      <c r="S304" s="30" t="n">
        <f aca="false">Q304/R304-1</f>
        <v>-0.0193496044885992</v>
      </c>
      <c r="T304" s="31" t="n">
        <f aca="false">DATE(YEAR(F304),MONTH(F304),1)</f>
        <v>43101</v>
      </c>
    </row>
    <row r="305" customFormat="false" ht="15" hidden="false" customHeight="true" outlineLevel="0" collapsed="false">
      <c r="A305" s="4" t="n">
        <v>304</v>
      </c>
      <c r="B305" s="4" t="s">
        <v>27</v>
      </c>
      <c r="C305" s="4" t="s">
        <v>53</v>
      </c>
      <c r="D305" s="23" t="n">
        <v>43137.9166666667</v>
      </c>
      <c r="E305" s="23" t="n">
        <v>43138.5208333333</v>
      </c>
      <c r="F305" s="23" t="n">
        <v>43139.6770833333</v>
      </c>
      <c r="G305" s="4" t="n">
        <f aca="false">YEAR(E305)</f>
        <v>2018</v>
      </c>
      <c r="H305" s="4" t="str">
        <f aca="false">IF(E305&lt;DATE(2015,1,1),"2005–2014",IF(E305&lt;DATE(2022,3,5),"2015 – Mar 2022","Mar 2022 – Oct 2026"))</f>
        <v>2015 – Mar 2022</v>
      </c>
      <c r="I305" s="24" t="n">
        <v>151.866</v>
      </c>
      <c r="J305" s="24" t="n">
        <v>151.212</v>
      </c>
      <c r="K305" s="24" t="n">
        <v>155.458</v>
      </c>
      <c r="L305" s="25" t="n">
        <v>5.49</v>
      </c>
      <c r="M305" s="26" t="n">
        <v>65.435</v>
      </c>
      <c r="N305" s="4" t="s">
        <v>35</v>
      </c>
      <c r="O305" s="27" t="n">
        <v>0.0344</v>
      </c>
      <c r="P305" s="28" t="n">
        <f aca="false">Summary!$C$6*O305</f>
        <v>0.000172</v>
      </c>
      <c r="Q305" s="29" t="n">
        <f aca="false">Q304*(1+P305)</f>
        <v>11922.7910063342</v>
      </c>
      <c r="R305" s="29" t="n">
        <f aca="false">MAX(R304,Q305)</f>
        <v>12155.9535319697</v>
      </c>
      <c r="S305" s="30" t="n">
        <f aca="false">Q305/R305-1</f>
        <v>-0.0191809326205712</v>
      </c>
      <c r="T305" s="31" t="n">
        <f aca="false">DATE(YEAR(F305),MONTH(F305),1)</f>
        <v>43132</v>
      </c>
    </row>
    <row r="306" customFormat="false" ht="15" hidden="false" customHeight="true" outlineLevel="0" collapsed="false">
      <c r="A306" s="4" t="n">
        <v>305</v>
      </c>
      <c r="B306" s="4" t="s">
        <v>27</v>
      </c>
      <c r="C306" s="4" t="s">
        <v>54</v>
      </c>
      <c r="D306" s="23" t="n">
        <v>43139.9166666667</v>
      </c>
      <c r="E306" s="23" t="n">
        <v>43140.2291666667</v>
      </c>
      <c r="F306" s="23" t="n">
        <v>43140.3020833333</v>
      </c>
      <c r="G306" s="4" t="n">
        <f aca="false">YEAR(E306)</f>
        <v>2018</v>
      </c>
      <c r="H306" s="4" t="str">
        <f aca="false">IF(E306&lt;DATE(2015,1,1),"2005–2014",IF(E306&lt;DATE(2022,3,5),"2015 – Mar 2022","Mar 2022 – Oct 2026"))</f>
        <v>2015 – Mar 2022</v>
      </c>
      <c r="I306" s="24" t="n">
        <v>151.83</v>
      </c>
      <c r="J306" s="24" t="n">
        <v>152.537</v>
      </c>
      <c r="K306" s="24" t="n">
        <v>149.337</v>
      </c>
      <c r="L306" s="25" t="n">
        <v>3.524</v>
      </c>
      <c r="M306" s="26" t="n">
        <v>70.74</v>
      </c>
      <c r="N306" s="4" t="s">
        <v>34</v>
      </c>
      <c r="O306" s="27" t="n">
        <v>-1.0106</v>
      </c>
      <c r="P306" s="28" t="n">
        <f aca="false">Summary!$C$6*O306</f>
        <v>-0.005053</v>
      </c>
      <c r="Q306" s="29" t="n">
        <f aca="false">Q305*(1+P306)</f>
        <v>11862.5451433792</v>
      </c>
      <c r="R306" s="29" t="n">
        <f aca="false">MAX(R305,Q306)</f>
        <v>12155.9535319697</v>
      </c>
      <c r="S306" s="30" t="n">
        <f aca="false">Q306/R306-1</f>
        <v>-0.0241370113680394</v>
      </c>
      <c r="T306" s="31" t="n">
        <f aca="false">DATE(YEAR(F306),MONTH(F306),1)</f>
        <v>43132</v>
      </c>
    </row>
    <row r="307" customFormat="false" ht="15" hidden="false" customHeight="true" outlineLevel="0" collapsed="false">
      <c r="A307" s="4" t="n">
        <v>306</v>
      </c>
      <c r="B307" s="4" t="s">
        <v>27</v>
      </c>
      <c r="C307" s="4" t="s">
        <v>53</v>
      </c>
      <c r="D307" s="23" t="n">
        <v>43140.9166666667</v>
      </c>
      <c r="E307" s="23" t="n">
        <v>43143.3125</v>
      </c>
      <c r="F307" s="23" t="n">
        <v>43143.6354166667</v>
      </c>
      <c r="G307" s="4" t="n">
        <f aca="false">YEAR(E307)</f>
        <v>2018</v>
      </c>
      <c r="H307" s="4" t="str">
        <f aca="false">IF(E307&lt;DATE(2015,1,1),"2005–2014",IF(E307&lt;DATE(2022,3,5),"2015 – Mar 2022","Mar 2022 – Oct 2026"))</f>
        <v>2015 – Mar 2022</v>
      </c>
      <c r="I307" s="24" t="n">
        <v>150.434</v>
      </c>
      <c r="J307" s="24" t="n">
        <v>149.665</v>
      </c>
      <c r="K307" s="24" t="n">
        <v>153.254</v>
      </c>
      <c r="L307" s="25" t="n">
        <v>3.667</v>
      </c>
      <c r="M307" s="26" t="n">
        <v>76.906</v>
      </c>
      <c r="N307" s="4" t="s">
        <v>34</v>
      </c>
      <c r="O307" s="27" t="n">
        <v>-1.0098</v>
      </c>
      <c r="P307" s="28" t="n">
        <f aca="false">Summary!$C$6*O307</f>
        <v>-0.005049</v>
      </c>
      <c r="Q307" s="29" t="n">
        <f aca="false">Q306*(1+P307)</f>
        <v>11802.6511529503</v>
      </c>
      <c r="R307" s="29" t="n">
        <f aca="false">MAX(R306,Q307)</f>
        <v>12155.9535319697</v>
      </c>
      <c r="S307" s="30" t="n">
        <f aca="false">Q307/R307-1</f>
        <v>-0.0290641435976422</v>
      </c>
      <c r="T307" s="31" t="n">
        <f aca="false">DATE(YEAR(F307),MONTH(F307),1)</f>
        <v>43132</v>
      </c>
    </row>
    <row r="308" customFormat="false" ht="15" hidden="false" customHeight="true" outlineLevel="0" collapsed="false">
      <c r="A308" s="4" t="n">
        <v>307</v>
      </c>
      <c r="B308" s="4" t="s">
        <v>27</v>
      </c>
      <c r="C308" s="4" t="s">
        <v>53</v>
      </c>
      <c r="D308" s="23" t="n">
        <v>43143.9166666667</v>
      </c>
      <c r="E308" s="23" t="n">
        <v>43144.4583333333</v>
      </c>
      <c r="F308" s="23" t="n">
        <v>43145.125</v>
      </c>
      <c r="G308" s="4" t="n">
        <f aca="false">YEAR(E308)</f>
        <v>2018</v>
      </c>
      <c r="H308" s="4" t="str">
        <f aca="false">IF(E308&lt;DATE(2015,1,1),"2005–2014",IF(E308&lt;DATE(2022,3,5),"2015 – Mar 2022","Mar 2022 – Oct 2026"))</f>
        <v>2015 – Mar 2022</v>
      </c>
      <c r="I308" s="24" t="n">
        <v>149.758</v>
      </c>
      <c r="J308" s="24" t="n">
        <v>149.01</v>
      </c>
      <c r="K308" s="24" t="n">
        <v>152.163</v>
      </c>
      <c r="L308" s="25" t="n">
        <v>3.215</v>
      </c>
      <c r="M308" s="26" t="n">
        <v>74.804</v>
      </c>
      <c r="N308" s="4" t="s">
        <v>34</v>
      </c>
      <c r="O308" s="27" t="n">
        <v>-1.01</v>
      </c>
      <c r="P308" s="28" t="n">
        <f aca="false">Summary!$C$6*O308</f>
        <v>-0.00505</v>
      </c>
      <c r="Q308" s="29" t="n">
        <f aca="false">Q307*(1+P308)</f>
        <v>11743.0477646279</v>
      </c>
      <c r="R308" s="29" t="n">
        <f aca="false">MAX(R307,Q308)</f>
        <v>12155.9535319697</v>
      </c>
      <c r="S308" s="30" t="n">
        <f aca="false">Q308/R308-1</f>
        <v>-0.0339673696724742</v>
      </c>
      <c r="T308" s="31" t="n">
        <f aca="false">DATE(YEAR(F308),MONTH(F308),1)</f>
        <v>43132</v>
      </c>
    </row>
    <row r="309" customFormat="false" ht="15" hidden="false" customHeight="true" outlineLevel="0" collapsed="false">
      <c r="A309" s="4" t="n">
        <v>308</v>
      </c>
      <c r="B309" s="4" t="s">
        <v>27</v>
      </c>
      <c r="C309" s="4" t="s">
        <v>54</v>
      </c>
      <c r="D309" s="23" t="n">
        <v>43146.9166666667</v>
      </c>
      <c r="E309" s="23" t="n">
        <v>43147.2916666667</v>
      </c>
      <c r="F309" s="23" t="n">
        <v>43151.6979166667</v>
      </c>
      <c r="G309" s="4" t="n">
        <f aca="false">YEAR(E309)</f>
        <v>2018</v>
      </c>
      <c r="H309" s="4" t="str">
        <f aca="false">IF(E309&lt;DATE(2015,1,1),"2005–2014",IF(E309&lt;DATE(2022,3,5),"2015 – Mar 2022","Mar 2022 – Oct 2026"))</f>
        <v>2015 – Mar 2022</v>
      </c>
      <c r="I309" s="24" t="n">
        <v>149.63</v>
      </c>
      <c r="J309" s="24" t="n">
        <v>150.363</v>
      </c>
      <c r="K309" s="24" t="n">
        <v>147.352</v>
      </c>
      <c r="L309" s="25" t="n">
        <v>3.106</v>
      </c>
      <c r="M309" s="26" t="n">
        <v>73.318</v>
      </c>
      <c r="N309" s="4" t="s">
        <v>34</v>
      </c>
      <c r="O309" s="27" t="n">
        <v>-1.0102</v>
      </c>
      <c r="P309" s="28" t="n">
        <f aca="false">Summary!$C$6*O309</f>
        <v>-0.005051</v>
      </c>
      <c r="Q309" s="29" t="n">
        <f aca="false">Q308*(1+P309)</f>
        <v>11683.7336303687</v>
      </c>
      <c r="R309" s="29" t="n">
        <f aca="false">MAX(R308,Q309)</f>
        <v>12155.9535319697</v>
      </c>
      <c r="S309" s="30" t="n">
        <f aca="false">Q309/R309-1</f>
        <v>-0.0388468004882585</v>
      </c>
      <c r="T309" s="31" t="n">
        <f aca="false">DATE(YEAR(F309),MONTH(F309),1)</f>
        <v>43132</v>
      </c>
    </row>
    <row r="310" customFormat="false" ht="15" hidden="false" customHeight="true" outlineLevel="0" collapsed="false">
      <c r="A310" s="4" t="n">
        <v>309</v>
      </c>
      <c r="B310" s="4" t="s">
        <v>28</v>
      </c>
      <c r="C310" s="4" t="s">
        <v>53</v>
      </c>
      <c r="D310" s="23" t="n">
        <v>43151.9166666667</v>
      </c>
      <c r="E310" s="23" t="n">
        <v>43153.3645833333</v>
      </c>
      <c r="F310" s="23" t="n">
        <v>43158.5729166667</v>
      </c>
      <c r="G310" s="4" t="n">
        <f aca="false">YEAR(E310)</f>
        <v>2018</v>
      </c>
      <c r="H310" s="4" t="str">
        <f aca="false">IF(E310&lt;DATE(2015,1,1),"2005–2014",IF(E310&lt;DATE(2022,3,5),"2015 – Mar 2022","Mar 2022 – Oct 2026"))</f>
        <v>2015 – Mar 2022</v>
      </c>
      <c r="I310" s="24" t="n">
        <v>148.944</v>
      </c>
      <c r="J310" s="24" t="n">
        <v>148.273</v>
      </c>
      <c r="K310" s="24" t="n">
        <v>151.154</v>
      </c>
      <c r="L310" s="25" t="n">
        <v>3.293</v>
      </c>
      <c r="M310" s="26" t="n">
        <v>67.107</v>
      </c>
      <c r="N310" s="4" t="s">
        <v>35</v>
      </c>
      <c r="O310" s="27" t="n">
        <v>0.0335</v>
      </c>
      <c r="P310" s="28" t="n">
        <f aca="false">Summary!$C$6*O310</f>
        <v>0.0001675</v>
      </c>
      <c r="Q310" s="29" t="n">
        <f aca="false">Q309*(1+P310)</f>
        <v>11685.6906557518</v>
      </c>
      <c r="R310" s="29" t="n">
        <f aca="false">MAX(R309,Q310)</f>
        <v>12155.9535319697</v>
      </c>
      <c r="S310" s="30" t="n">
        <f aca="false">Q310/R310-1</f>
        <v>-0.0386858073273402</v>
      </c>
      <c r="T310" s="31" t="n">
        <f aca="false">DATE(YEAR(F310),MONTH(F310),1)</f>
        <v>43132</v>
      </c>
    </row>
    <row r="311" customFormat="false" ht="15" hidden="false" customHeight="true" outlineLevel="0" collapsed="false">
      <c r="A311" s="4" t="n">
        <v>310</v>
      </c>
      <c r="B311" s="4" t="s">
        <v>27</v>
      </c>
      <c r="C311" s="4" t="s">
        <v>53</v>
      </c>
      <c r="D311" s="23" t="n">
        <v>43158.9166666667</v>
      </c>
      <c r="E311" s="23" t="n">
        <v>43159.40625</v>
      </c>
      <c r="F311" s="23" t="n">
        <v>43159.4791666667</v>
      </c>
      <c r="G311" s="4" t="n">
        <f aca="false">YEAR(E311)</f>
        <v>2018</v>
      </c>
      <c r="H311" s="4" t="str">
        <f aca="false">IF(E311&lt;DATE(2015,1,1),"2005–2014",IF(E311&lt;DATE(2022,3,5),"2015 – Mar 2022","Mar 2022 – Oct 2026"))</f>
        <v>2015 – Mar 2022</v>
      </c>
      <c r="I311" s="24" t="n">
        <v>148.98</v>
      </c>
      <c r="J311" s="24" t="n">
        <v>148.372</v>
      </c>
      <c r="K311" s="24" t="n">
        <v>151.162</v>
      </c>
      <c r="L311" s="25" t="n">
        <v>3.587</v>
      </c>
      <c r="M311" s="26" t="n">
        <v>60.828</v>
      </c>
      <c r="N311" s="4" t="s">
        <v>34</v>
      </c>
      <c r="O311" s="27" t="n">
        <v>-1.0123</v>
      </c>
      <c r="P311" s="28" t="n">
        <f aca="false">Summary!$C$6*O311</f>
        <v>-0.0050615</v>
      </c>
      <c r="Q311" s="29" t="n">
        <f aca="false">Q310*(1+P311)</f>
        <v>11626.5435324977</v>
      </c>
      <c r="R311" s="29" t="n">
        <f aca="false">MAX(R310,Q311)</f>
        <v>12155.9535319697</v>
      </c>
      <c r="S311" s="30" t="n">
        <f aca="false">Q311/R311-1</f>
        <v>-0.0435514991135528</v>
      </c>
      <c r="T311" s="31" t="n">
        <f aca="false">DATE(YEAR(F311),MONTH(F311),1)</f>
        <v>43132</v>
      </c>
    </row>
    <row r="312" customFormat="false" ht="15" hidden="false" customHeight="true" outlineLevel="0" collapsed="false">
      <c r="A312" s="4" t="n">
        <v>311</v>
      </c>
      <c r="B312" s="4" t="s">
        <v>28</v>
      </c>
      <c r="C312" s="4" t="s">
        <v>54</v>
      </c>
      <c r="D312" s="23" t="n">
        <v>43159.9166666667</v>
      </c>
      <c r="E312" s="23" t="n">
        <v>43165.5</v>
      </c>
      <c r="F312" s="23" t="n">
        <v>43168.5416666667</v>
      </c>
      <c r="G312" s="4" t="n">
        <f aca="false">YEAR(E312)</f>
        <v>2018</v>
      </c>
      <c r="H312" s="4" t="str">
        <f aca="false">IF(E312&lt;DATE(2015,1,1),"2005–2014",IF(E312&lt;DATE(2022,3,5),"2015 – Mar 2022","Mar 2022 – Oct 2026"))</f>
        <v>2015 – Mar 2022</v>
      </c>
      <c r="I312" s="24" t="n">
        <v>147.85</v>
      </c>
      <c r="J312" s="24" t="n">
        <v>148.497</v>
      </c>
      <c r="K312" s="24" t="n">
        <v>144.509</v>
      </c>
      <c r="L312" s="25" t="n">
        <v>5.167</v>
      </c>
      <c r="M312" s="26" t="n">
        <v>64.66</v>
      </c>
      <c r="N312" s="4" t="s">
        <v>35</v>
      </c>
      <c r="O312" s="27" t="n">
        <v>0.0348</v>
      </c>
      <c r="P312" s="28" t="n">
        <f aca="false">Summary!$C$6*O312</f>
        <v>0.000174</v>
      </c>
      <c r="Q312" s="29" t="n">
        <f aca="false">Q311*(1+P312)</f>
        <v>11628.5665510724</v>
      </c>
      <c r="R312" s="29" t="n">
        <f aca="false">MAX(R311,Q312)</f>
        <v>12155.9535319697</v>
      </c>
      <c r="S312" s="30" t="n">
        <f aca="false">Q312/R312-1</f>
        <v>-0.0433850770743988</v>
      </c>
      <c r="T312" s="31" t="n">
        <f aca="false">DATE(YEAR(F312),MONTH(F312),1)</f>
        <v>43160</v>
      </c>
    </row>
    <row r="313" customFormat="false" ht="15" hidden="false" customHeight="true" outlineLevel="0" collapsed="false">
      <c r="A313" s="4" t="n">
        <v>312</v>
      </c>
      <c r="B313" s="4" t="s">
        <v>27</v>
      </c>
      <c r="C313" s="4" t="s">
        <v>53</v>
      </c>
      <c r="D313" s="23" t="n">
        <v>43171.9166666667</v>
      </c>
      <c r="E313" s="23" t="n">
        <v>43173.6458333333</v>
      </c>
      <c r="F313" s="23" t="n">
        <v>43175.3229166667</v>
      </c>
      <c r="G313" s="4" t="n">
        <f aca="false">YEAR(E313)</f>
        <v>2018</v>
      </c>
      <c r="H313" s="4" t="str">
        <f aca="false">IF(E313&lt;DATE(2015,1,1),"2005–2014",IF(E313&lt;DATE(2022,3,5),"2015 – Mar 2022","Mar 2022 – Oct 2026"))</f>
        <v>2015 – Mar 2022</v>
      </c>
      <c r="I313" s="24" t="n">
        <v>147.962</v>
      </c>
      <c r="J313" s="24" t="n">
        <v>147.339</v>
      </c>
      <c r="K313" s="24" t="n">
        <v>149.974</v>
      </c>
      <c r="L313" s="25" t="n">
        <v>3.232</v>
      </c>
      <c r="M313" s="26" t="n">
        <v>62.257</v>
      </c>
      <c r="N313" s="4" t="s">
        <v>34</v>
      </c>
      <c r="O313" s="27" t="n">
        <v>-1.012</v>
      </c>
      <c r="P313" s="28" t="n">
        <f aca="false">Summary!$C$6*O313</f>
        <v>-0.00506</v>
      </c>
      <c r="Q313" s="29" t="n">
        <f aca="false">Q312*(1+P313)</f>
        <v>11569.7260043239</v>
      </c>
      <c r="R313" s="29" t="n">
        <f aca="false">MAX(R312,Q313)</f>
        <v>12155.9535319697</v>
      </c>
      <c r="S313" s="30" t="n">
        <f aca="false">Q313/R313-1</f>
        <v>-0.0482255485844022</v>
      </c>
      <c r="T313" s="31" t="n">
        <f aca="false">DATE(YEAR(F313),MONTH(F313),1)</f>
        <v>43160</v>
      </c>
    </row>
    <row r="314" customFormat="false" ht="15" hidden="false" customHeight="true" outlineLevel="0" collapsed="false">
      <c r="A314" s="4" t="n">
        <v>313</v>
      </c>
      <c r="B314" s="4" t="s">
        <v>27</v>
      </c>
      <c r="C314" s="4" t="s">
        <v>53</v>
      </c>
      <c r="D314" s="23" t="n">
        <v>43175.9166666667</v>
      </c>
      <c r="E314" s="23" t="n">
        <v>43178.28125</v>
      </c>
      <c r="F314" s="23" t="n">
        <v>43178.5</v>
      </c>
      <c r="G314" s="4" t="n">
        <f aca="false">YEAR(E314)</f>
        <v>2018</v>
      </c>
      <c r="H314" s="4" t="str">
        <f aca="false">IF(E314&lt;DATE(2015,1,1),"2005–2014",IF(E314&lt;DATE(2022,3,5),"2015 – Mar 2022","Mar 2022 – Oct 2026"))</f>
        <v>2015 – Mar 2022</v>
      </c>
      <c r="I314" s="24" t="n">
        <v>147.228</v>
      </c>
      <c r="J314" s="24" t="n">
        <v>146.634</v>
      </c>
      <c r="K314" s="24" t="n">
        <v>149.179</v>
      </c>
      <c r="L314" s="25" t="n">
        <v>3.284</v>
      </c>
      <c r="M314" s="26" t="n">
        <v>59.395</v>
      </c>
      <c r="N314" s="4" t="s">
        <v>33</v>
      </c>
      <c r="O314" s="27" t="n">
        <v>3.284</v>
      </c>
      <c r="P314" s="28" t="n">
        <f aca="false">Summary!$C$6*O314</f>
        <v>0.01642</v>
      </c>
      <c r="Q314" s="29" t="n">
        <f aca="false">Q313*(1+P314)</f>
        <v>11759.7009053149</v>
      </c>
      <c r="R314" s="29" t="n">
        <f aca="false">MAX(R313,Q314)</f>
        <v>12155.9535319697</v>
      </c>
      <c r="S314" s="30" t="n">
        <f aca="false">Q314/R314-1</f>
        <v>-0.0325974120921579</v>
      </c>
      <c r="T314" s="31" t="n">
        <f aca="false">DATE(YEAR(F314),MONTH(F314),1)</f>
        <v>43160</v>
      </c>
    </row>
    <row r="315" customFormat="false" ht="15" hidden="false" customHeight="true" outlineLevel="0" collapsed="false">
      <c r="A315" s="4" t="n">
        <v>314</v>
      </c>
      <c r="B315" s="4" t="s">
        <v>27</v>
      </c>
      <c r="C315" s="4" t="s">
        <v>54</v>
      </c>
      <c r="D315" s="23" t="n">
        <v>43192.9166666667</v>
      </c>
      <c r="E315" s="23" t="n">
        <v>43193.2291666667</v>
      </c>
      <c r="F315" s="23" t="n">
        <v>43193.3333333333</v>
      </c>
      <c r="G315" s="4" t="n">
        <f aca="false">YEAR(E315)</f>
        <v>2018</v>
      </c>
      <c r="H315" s="4" t="str">
        <f aca="false">IF(E315&lt;DATE(2015,1,1),"2005–2014",IF(E315&lt;DATE(2022,3,5),"2015 – Mar 2022","Mar 2022 – Oct 2026"))</f>
        <v>2015 – Mar 2022</v>
      </c>
      <c r="I315" s="24" t="n">
        <v>148.89</v>
      </c>
      <c r="J315" s="24" t="n">
        <v>149.489</v>
      </c>
      <c r="K315" s="24" t="n">
        <v>147.029</v>
      </c>
      <c r="L315" s="25" t="n">
        <v>3.107</v>
      </c>
      <c r="M315" s="26" t="n">
        <v>59.901</v>
      </c>
      <c r="N315" s="4" t="s">
        <v>34</v>
      </c>
      <c r="O315" s="27" t="n">
        <v>-1.0125</v>
      </c>
      <c r="P315" s="28" t="n">
        <f aca="false">Summary!$C$6*O315</f>
        <v>-0.0050625</v>
      </c>
      <c r="Q315" s="29" t="n">
        <f aca="false">Q314*(1+P315)</f>
        <v>11700.1674194818</v>
      </c>
      <c r="R315" s="29" t="n">
        <f aca="false">MAX(R314,Q315)</f>
        <v>12155.9535319697</v>
      </c>
      <c r="S315" s="30" t="n">
        <f aca="false">Q315/R315-1</f>
        <v>-0.0374948876934415</v>
      </c>
      <c r="T315" s="31" t="n">
        <f aca="false">DATE(YEAR(F315),MONTH(F315),1)</f>
        <v>43191</v>
      </c>
    </row>
    <row r="316" customFormat="false" ht="15" hidden="false" customHeight="true" outlineLevel="0" collapsed="false">
      <c r="A316" s="4" t="n">
        <v>315</v>
      </c>
      <c r="B316" s="4" t="s">
        <v>28</v>
      </c>
      <c r="C316" s="4" t="s">
        <v>53</v>
      </c>
      <c r="D316" s="23" t="n">
        <v>43193.9166666667</v>
      </c>
      <c r="E316" s="23" t="n">
        <v>43194.4270833333</v>
      </c>
      <c r="F316" s="23" t="n">
        <v>43196.59375</v>
      </c>
      <c r="G316" s="4" t="n">
        <f aca="false">YEAR(E316)</f>
        <v>2018</v>
      </c>
      <c r="H316" s="4" t="str">
        <f aca="false">IF(E316&lt;DATE(2015,1,1),"2005–2014",IF(E316&lt;DATE(2022,3,5),"2015 – Mar 2022","Mar 2022 – Oct 2026"))</f>
        <v>2015 – Mar 2022</v>
      </c>
      <c r="I316" s="24" t="n">
        <v>148.919</v>
      </c>
      <c r="J316" s="24" t="n">
        <v>148.32</v>
      </c>
      <c r="K316" s="24" t="n">
        <v>151.163</v>
      </c>
      <c r="L316" s="25" t="n">
        <v>3.744</v>
      </c>
      <c r="M316" s="26" t="n">
        <v>59.918</v>
      </c>
      <c r="N316" s="4" t="s">
        <v>33</v>
      </c>
      <c r="O316" s="27" t="n">
        <v>3.7444</v>
      </c>
      <c r="P316" s="28" t="n">
        <f aca="false">Summary!$C$6*O316</f>
        <v>0.018722</v>
      </c>
      <c r="Q316" s="29" t="n">
        <f aca="false">Q315*(1+P316)</f>
        <v>11919.2179539093</v>
      </c>
      <c r="R316" s="29" t="n">
        <f aca="false">MAX(R315,Q316)</f>
        <v>12155.9535319697</v>
      </c>
      <c r="S316" s="30" t="n">
        <f aca="false">Q316/R316-1</f>
        <v>-0.0194748669808381</v>
      </c>
      <c r="T316" s="31" t="n">
        <f aca="false">DATE(YEAR(F316),MONTH(F316),1)</f>
        <v>43191</v>
      </c>
    </row>
    <row r="317" customFormat="false" ht="15" hidden="false" customHeight="true" outlineLevel="0" collapsed="false">
      <c r="A317" s="4" t="n">
        <v>316</v>
      </c>
      <c r="B317" s="4" t="s">
        <v>27</v>
      </c>
      <c r="C317" s="4" t="s">
        <v>53</v>
      </c>
      <c r="D317" s="23" t="n">
        <v>43196.9166666667</v>
      </c>
      <c r="E317" s="23" t="n">
        <v>43199.125</v>
      </c>
      <c r="F317" s="23" t="n">
        <v>43199.8020833333</v>
      </c>
      <c r="G317" s="4" t="n">
        <f aca="false">YEAR(E317)</f>
        <v>2018</v>
      </c>
      <c r="H317" s="4" t="str">
        <f aca="false">IF(E317&lt;DATE(2015,1,1),"2005–2014",IF(E317&lt;DATE(2022,3,5),"2015 – Mar 2022","Mar 2022 – Oct 2026"))</f>
        <v>2015 – Mar 2022</v>
      </c>
      <c r="I317" s="24" t="n">
        <v>150.774</v>
      </c>
      <c r="J317" s="24" t="n">
        <v>150.194</v>
      </c>
      <c r="K317" s="24" t="n">
        <v>152.587</v>
      </c>
      <c r="L317" s="25" t="n">
        <v>3.128</v>
      </c>
      <c r="M317" s="26" t="n">
        <v>57.963</v>
      </c>
      <c r="N317" s="4" t="s">
        <v>35</v>
      </c>
      <c r="O317" s="27" t="n">
        <v>0.0388</v>
      </c>
      <c r="P317" s="28" t="n">
        <f aca="false">Summary!$C$6*O317</f>
        <v>0.000194</v>
      </c>
      <c r="Q317" s="29" t="n">
        <f aca="false">Q316*(1+P317)</f>
        <v>11921.5302821924</v>
      </c>
      <c r="R317" s="29" t="n">
        <f aca="false">MAX(R316,Q317)</f>
        <v>12155.9535319697</v>
      </c>
      <c r="S317" s="30" t="n">
        <f aca="false">Q317/R317-1</f>
        <v>-0.0192846451050325</v>
      </c>
      <c r="T317" s="31" t="n">
        <f aca="false">DATE(YEAR(F317),MONTH(F317),1)</f>
        <v>43191</v>
      </c>
    </row>
    <row r="318" customFormat="false" ht="15" hidden="false" customHeight="true" outlineLevel="0" collapsed="false">
      <c r="A318" s="4" t="n">
        <v>317</v>
      </c>
      <c r="B318" s="4" t="s">
        <v>28</v>
      </c>
      <c r="C318" s="4" t="s">
        <v>53</v>
      </c>
      <c r="D318" s="23" t="n">
        <v>43206.9166666667</v>
      </c>
      <c r="E318" s="23" t="n">
        <v>43208.3541666667</v>
      </c>
      <c r="F318" s="23" t="n">
        <v>43208.375</v>
      </c>
      <c r="G318" s="4" t="n">
        <f aca="false">YEAR(E318)</f>
        <v>2018</v>
      </c>
      <c r="H318" s="4" t="str">
        <f aca="false">IF(E318&lt;DATE(2015,1,1),"2005–2014",IF(E318&lt;DATE(2022,3,5),"2015 – Mar 2022","Mar 2022 – Oct 2026"))</f>
        <v>2015 – Mar 2022</v>
      </c>
      <c r="I318" s="24" t="n">
        <v>152.655</v>
      </c>
      <c r="J318" s="24" t="n">
        <v>152.099</v>
      </c>
      <c r="K318" s="24" t="n">
        <v>155.47</v>
      </c>
      <c r="L318" s="25" t="n">
        <v>5.07</v>
      </c>
      <c r="M318" s="26" t="n">
        <v>55.535</v>
      </c>
      <c r="N318" s="4" t="s">
        <v>34</v>
      </c>
      <c r="O318" s="27" t="n">
        <v>-1.0135</v>
      </c>
      <c r="P318" s="28" t="n">
        <f aca="false">Summary!$C$6*O318</f>
        <v>-0.0050675</v>
      </c>
      <c r="Q318" s="29" t="n">
        <f aca="false">Q317*(1+P318)</f>
        <v>11861.1179274874</v>
      </c>
      <c r="R318" s="29" t="n">
        <f aca="false">MAX(R317,Q318)</f>
        <v>12155.9535319697</v>
      </c>
      <c r="S318" s="30" t="n">
        <f aca="false">Q318/R318-1</f>
        <v>-0.0242544201659627</v>
      </c>
      <c r="T318" s="31" t="n">
        <f aca="false">DATE(YEAR(F318),MONTH(F318),1)</f>
        <v>43191</v>
      </c>
    </row>
    <row r="319" customFormat="false" ht="15" hidden="false" customHeight="true" outlineLevel="0" collapsed="false">
      <c r="A319" s="4" t="n">
        <v>318</v>
      </c>
      <c r="B319" s="4" t="s">
        <v>27</v>
      </c>
      <c r="C319" s="4" t="s">
        <v>53</v>
      </c>
      <c r="D319" s="23" t="n">
        <v>43220.9166666667</v>
      </c>
      <c r="E319" s="23" t="n">
        <v>43221.3229166667</v>
      </c>
      <c r="F319" s="23" t="n">
        <v>43221.3541666667</v>
      </c>
      <c r="G319" s="4" t="n">
        <f aca="false">YEAR(E319)</f>
        <v>2018</v>
      </c>
      <c r="H319" s="4" t="str">
        <f aca="false">IF(E319&lt;DATE(2015,1,1),"2005–2014",IF(E319&lt;DATE(2022,3,5),"2015 – Mar 2022","Mar 2022 – Oct 2026"))</f>
        <v>2015 – Mar 2022</v>
      </c>
      <c r="I319" s="24" t="n">
        <v>150.51</v>
      </c>
      <c r="J319" s="24" t="n">
        <v>149.994</v>
      </c>
      <c r="K319" s="24" t="n">
        <v>152.191</v>
      </c>
      <c r="L319" s="25" t="n">
        <v>3.261</v>
      </c>
      <c r="M319" s="26" t="n">
        <v>51.552</v>
      </c>
      <c r="N319" s="4" t="s">
        <v>34</v>
      </c>
      <c r="O319" s="27" t="n">
        <v>-1.0145</v>
      </c>
      <c r="P319" s="28" t="n">
        <f aca="false">Summary!$C$6*O319</f>
        <v>-0.0050725</v>
      </c>
      <c r="Q319" s="29" t="n">
        <f aca="false">Q318*(1+P319)</f>
        <v>11800.9524068002</v>
      </c>
      <c r="R319" s="29" t="n">
        <f aca="false">MAX(R318,Q319)</f>
        <v>12155.9535319697</v>
      </c>
      <c r="S319" s="30" t="n">
        <f aca="false">Q319/R319-1</f>
        <v>-0.0292038896196708</v>
      </c>
      <c r="T319" s="31" t="n">
        <f aca="false">DATE(YEAR(F319),MONTH(F319),1)</f>
        <v>43221</v>
      </c>
    </row>
    <row r="320" customFormat="false" ht="15" hidden="false" customHeight="true" outlineLevel="0" collapsed="false">
      <c r="A320" s="4" t="n">
        <v>319</v>
      </c>
      <c r="B320" s="4" t="s">
        <v>28</v>
      </c>
      <c r="C320" s="4" t="s">
        <v>54</v>
      </c>
      <c r="D320" s="23" t="n">
        <v>43228.9166666667</v>
      </c>
      <c r="E320" s="23" t="n">
        <v>43229.0416666667</v>
      </c>
      <c r="F320" s="23" t="n">
        <v>43229.3645833333</v>
      </c>
      <c r="G320" s="4" t="n">
        <f aca="false">YEAR(E320)</f>
        <v>2018</v>
      </c>
      <c r="H320" s="4" t="str">
        <f aca="false">IF(E320&lt;DATE(2015,1,1),"2005–2014",IF(E320&lt;DATE(2022,3,5),"2015 – Mar 2022","Mar 2022 – Oct 2026"))</f>
        <v>2015 – Mar 2022</v>
      </c>
      <c r="I320" s="24" t="n">
        <v>148.181</v>
      </c>
      <c r="J320" s="24" t="n">
        <v>148.695</v>
      </c>
      <c r="K320" s="24" t="n">
        <v>146.531</v>
      </c>
      <c r="L320" s="25" t="n">
        <v>3.208</v>
      </c>
      <c r="M320" s="26" t="n">
        <v>51.443</v>
      </c>
      <c r="N320" s="4" t="s">
        <v>34</v>
      </c>
      <c r="O320" s="27" t="n">
        <v>-1.0146</v>
      </c>
      <c r="P320" s="28" t="n">
        <f aca="false">Summary!$C$6*O320</f>
        <v>-0.005073</v>
      </c>
      <c r="Q320" s="29" t="n">
        <f aca="false">Q319*(1+P320)</f>
        <v>11741.0861752405</v>
      </c>
      <c r="R320" s="29" t="n">
        <f aca="false">MAX(R319,Q320)</f>
        <v>12155.9535319697</v>
      </c>
      <c r="S320" s="30" t="n">
        <f aca="false">Q320/R320-1</f>
        <v>-0.0341287382876303</v>
      </c>
      <c r="T320" s="31" t="n">
        <f aca="false">DATE(YEAR(F320),MONTH(F320),1)</f>
        <v>43221</v>
      </c>
    </row>
    <row r="321" customFormat="false" ht="15" hidden="false" customHeight="true" outlineLevel="0" collapsed="false">
      <c r="A321" s="4" t="n">
        <v>320</v>
      </c>
      <c r="B321" s="4" t="s">
        <v>28</v>
      </c>
      <c r="C321" s="4" t="s">
        <v>53</v>
      </c>
      <c r="D321" s="23" t="n">
        <v>43229.9166666667</v>
      </c>
      <c r="E321" s="23" t="n">
        <v>43230.5833333333</v>
      </c>
      <c r="F321" s="23" t="n">
        <v>43238.1145833333</v>
      </c>
      <c r="G321" s="4" t="n">
        <f aca="false">YEAR(E321)</f>
        <v>2018</v>
      </c>
      <c r="H321" s="4" t="str">
        <f aca="false">IF(E321&lt;DATE(2015,1,1),"2005–2014",IF(E321&lt;DATE(2022,3,5),"2015 – Mar 2022","Mar 2022 – Oct 2026"))</f>
        <v>2015 – Mar 2022</v>
      </c>
      <c r="I321" s="24" t="n">
        <v>147.791</v>
      </c>
      <c r="J321" s="24" t="n">
        <v>147.27</v>
      </c>
      <c r="K321" s="24" t="n">
        <v>149.986</v>
      </c>
      <c r="L321" s="25" t="n">
        <v>4.216</v>
      </c>
      <c r="M321" s="26" t="n">
        <v>52.079</v>
      </c>
      <c r="N321" s="4" t="s">
        <v>33</v>
      </c>
      <c r="O321" s="27" t="n">
        <v>4.2156</v>
      </c>
      <c r="P321" s="28" t="n">
        <f aca="false">Summary!$C$6*O321</f>
        <v>0.021078</v>
      </c>
      <c r="Q321" s="29" t="n">
        <f aca="false">Q320*(1+P321)</f>
        <v>11988.5647896422</v>
      </c>
      <c r="R321" s="29" t="n">
        <f aca="false">MAX(R320,Q321)</f>
        <v>12155.9535319697</v>
      </c>
      <c r="S321" s="30" t="n">
        <f aca="false">Q321/R321-1</f>
        <v>-0.0137701038332571</v>
      </c>
      <c r="T321" s="31" t="n">
        <f aca="false">DATE(YEAR(F321),MONTH(F321),1)</f>
        <v>43221</v>
      </c>
    </row>
    <row r="322" customFormat="false" ht="15" hidden="false" customHeight="true" outlineLevel="0" collapsed="false">
      <c r="A322" s="4" t="n">
        <v>321</v>
      </c>
      <c r="B322" s="4" t="s">
        <v>27</v>
      </c>
      <c r="C322" s="4" t="s">
        <v>54</v>
      </c>
      <c r="D322" s="23" t="n">
        <v>43255.9166666667</v>
      </c>
      <c r="E322" s="23" t="n">
        <v>43256.7083333333</v>
      </c>
      <c r="F322" s="23" t="n">
        <v>43256.9791666667</v>
      </c>
      <c r="G322" s="4" t="n">
        <f aca="false">YEAR(E322)</f>
        <v>2018</v>
      </c>
      <c r="H322" s="4" t="str">
        <f aca="false">IF(E322&lt;DATE(2015,1,1),"2005–2014",IF(E322&lt;DATE(2022,3,5),"2015 – Mar 2022","Mar 2022 – Oct 2026"))</f>
        <v>2015 – Mar 2022</v>
      </c>
      <c r="I322" s="24" t="n">
        <v>146.774</v>
      </c>
      <c r="J322" s="24" t="n">
        <v>147.331</v>
      </c>
      <c r="K322" s="24" t="n">
        <v>144.498</v>
      </c>
      <c r="L322" s="25" t="n">
        <v>4.088</v>
      </c>
      <c r="M322" s="26" t="n">
        <v>55.68</v>
      </c>
      <c r="N322" s="4" t="s">
        <v>34</v>
      </c>
      <c r="O322" s="27" t="n">
        <v>-1.0135</v>
      </c>
      <c r="P322" s="28" t="n">
        <f aca="false">Summary!$C$6*O322</f>
        <v>-0.0050675</v>
      </c>
      <c r="Q322" s="29" t="n">
        <f aca="false">Q321*(1+P322)</f>
        <v>11927.8127375707</v>
      </c>
      <c r="R322" s="29" t="n">
        <f aca="false">MAX(R321,Q322)</f>
        <v>12155.9535319697</v>
      </c>
      <c r="S322" s="30" t="n">
        <f aca="false">Q322/R322-1</f>
        <v>-0.018767823832082</v>
      </c>
      <c r="T322" s="31" t="n">
        <f aca="false">DATE(YEAR(F322),MONTH(F322),1)</f>
        <v>43252</v>
      </c>
    </row>
    <row r="323" customFormat="false" ht="15" hidden="false" customHeight="true" outlineLevel="0" collapsed="false">
      <c r="A323" s="4" t="n">
        <v>322</v>
      </c>
      <c r="B323" s="4" t="s">
        <v>28</v>
      </c>
      <c r="C323" s="4" t="s">
        <v>53</v>
      </c>
      <c r="D323" s="23" t="n">
        <v>43257.9166666667</v>
      </c>
      <c r="E323" s="23" t="n">
        <v>43258.4895833333</v>
      </c>
      <c r="F323" s="23" t="n">
        <v>43258.6979166667</v>
      </c>
      <c r="G323" s="4" t="n">
        <f aca="false">YEAR(E323)</f>
        <v>2018</v>
      </c>
      <c r="H323" s="4" t="str">
        <f aca="false">IF(E323&lt;DATE(2015,1,1),"2005–2014",IF(E323&lt;DATE(2022,3,5),"2015 – Mar 2022","Mar 2022 – Oct 2026"))</f>
        <v>2015 – Mar 2022</v>
      </c>
      <c r="I323" s="24" t="n">
        <v>147.235</v>
      </c>
      <c r="J323" s="24" t="n">
        <v>146.697</v>
      </c>
      <c r="K323" s="24" t="n">
        <v>148.866</v>
      </c>
      <c r="L323" s="25" t="n">
        <v>3.037</v>
      </c>
      <c r="M323" s="26" t="n">
        <v>53.73</v>
      </c>
      <c r="N323" s="4" t="s">
        <v>35</v>
      </c>
      <c r="O323" s="27" t="n">
        <v>0.0419</v>
      </c>
      <c r="P323" s="28" t="n">
        <f aca="false">Summary!$C$6*O323</f>
        <v>0.0002095</v>
      </c>
      <c r="Q323" s="29" t="n">
        <f aca="false">Q322*(1+P323)</f>
        <v>11930.3116143392</v>
      </c>
      <c r="R323" s="29" t="n">
        <f aca="false">MAX(R322,Q323)</f>
        <v>12155.9535319697</v>
      </c>
      <c r="S323" s="30" t="n">
        <f aca="false">Q323/R323-1</f>
        <v>-0.0185622556911748</v>
      </c>
      <c r="T323" s="31" t="n">
        <f aca="false">DATE(YEAR(F323),MONTH(F323),1)</f>
        <v>43252</v>
      </c>
    </row>
    <row r="324" customFormat="false" ht="15" hidden="false" customHeight="true" outlineLevel="0" collapsed="false">
      <c r="A324" s="4" t="n">
        <v>323</v>
      </c>
      <c r="B324" s="4" t="s">
        <v>28</v>
      </c>
      <c r="C324" s="4" t="s">
        <v>54</v>
      </c>
      <c r="D324" s="23" t="n">
        <v>43258.9166666667</v>
      </c>
      <c r="E324" s="23" t="n">
        <v>43262.2708333333</v>
      </c>
      <c r="F324" s="23" t="n">
        <v>43263.3229166667</v>
      </c>
      <c r="G324" s="4" t="n">
        <f aca="false">YEAR(E324)</f>
        <v>2018</v>
      </c>
      <c r="H324" s="4" t="str">
        <f aca="false">IF(E324&lt;DATE(2015,1,1),"2005–2014",IF(E324&lt;DATE(2022,3,5),"2015 – Mar 2022","Mar 2022 – Oct 2026"))</f>
        <v>2015 – Mar 2022</v>
      </c>
      <c r="I324" s="24" t="n">
        <v>147.78</v>
      </c>
      <c r="J324" s="24" t="n">
        <v>148.315</v>
      </c>
      <c r="K324" s="24" t="n">
        <v>145.993</v>
      </c>
      <c r="L324" s="25" t="n">
        <v>3.345</v>
      </c>
      <c r="M324" s="26" t="n">
        <v>53.43</v>
      </c>
      <c r="N324" s="4" t="s">
        <v>35</v>
      </c>
      <c r="O324" s="27" t="n">
        <v>0.0421</v>
      </c>
      <c r="P324" s="28" t="n">
        <f aca="false">Summary!$C$6*O324</f>
        <v>0.0002105</v>
      </c>
      <c r="Q324" s="29" t="n">
        <f aca="false">Q323*(1+P324)</f>
        <v>11932.822944934</v>
      </c>
      <c r="R324" s="29" t="n">
        <f aca="false">MAX(R323,Q324)</f>
        <v>12155.9535319697</v>
      </c>
      <c r="S324" s="30" t="n">
        <f aca="false">Q324/R324-1</f>
        <v>-0.0183556630459978</v>
      </c>
      <c r="T324" s="31" t="n">
        <f aca="false">DATE(YEAR(F324),MONTH(F324),1)</f>
        <v>43252</v>
      </c>
    </row>
    <row r="325" customFormat="false" ht="15" hidden="false" customHeight="true" outlineLevel="0" collapsed="false">
      <c r="A325" s="4" t="n">
        <v>324</v>
      </c>
      <c r="B325" s="4" t="s">
        <v>27</v>
      </c>
      <c r="C325" s="4" t="s">
        <v>54</v>
      </c>
      <c r="D325" s="23" t="n">
        <v>43263.9166666667</v>
      </c>
      <c r="E325" s="23" t="n">
        <v>43264.28125</v>
      </c>
      <c r="F325" s="23" t="n">
        <v>43270</v>
      </c>
      <c r="G325" s="4" t="n">
        <f aca="false">YEAR(E325)</f>
        <v>2018</v>
      </c>
      <c r="H325" s="4" t="str">
        <f aca="false">IF(E325&lt;DATE(2015,1,1),"2005–2014",IF(E325&lt;DATE(2022,3,5),"2015 – Mar 2022","Mar 2022 – Oct 2026"))</f>
        <v>2015 – Mar 2022</v>
      </c>
      <c r="I325" s="24" t="n">
        <v>147.763</v>
      </c>
      <c r="J325" s="24" t="n">
        <v>148.284</v>
      </c>
      <c r="K325" s="24" t="n">
        <v>145.992</v>
      </c>
      <c r="L325" s="25" t="n">
        <v>3.4</v>
      </c>
      <c r="M325" s="26" t="n">
        <v>52.094</v>
      </c>
      <c r="N325" s="4" t="s">
        <v>33</v>
      </c>
      <c r="O325" s="27" t="n">
        <v>3.4005</v>
      </c>
      <c r="P325" s="28" t="n">
        <f aca="false">Summary!$C$6*O325</f>
        <v>0.0170025</v>
      </c>
      <c r="Q325" s="29" t="n">
        <f aca="false">Q324*(1+P325)</f>
        <v>12135.7107670553</v>
      </c>
      <c r="R325" s="29" t="n">
        <f aca="false">MAX(R324,Q325)</f>
        <v>12155.9535319697</v>
      </c>
      <c r="S325" s="30" t="n">
        <f aca="false">Q325/R325-1</f>
        <v>-0.00166525520693739</v>
      </c>
      <c r="T325" s="31" t="n">
        <f aca="false">DATE(YEAR(F325),MONTH(F325),1)</f>
        <v>43252</v>
      </c>
    </row>
    <row r="326" customFormat="false" ht="15" hidden="false" customHeight="true" outlineLevel="0" collapsed="false">
      <c r="A326" s="4" t="n">
        <v>325</v>
      </c>
      <c r="B326" s="4" t="s">
        <v>28</v>
      </c>
      <c r="C326" s="4" t="s">
        <v>54</v>
      </c>
      <c r="D326" s="23" t="n">
        <v>43270.9166666667</v>
      </c>
      <c r="E326" s="23" t="n">
        <v>43273.375</v>
      </c>
      <c r="F326" s="23" t="n">
        <v>43279</v>
      </c>
      <c r="G326" s="4" t="n">
        <f aca="false">YEAR(E326)</f>
        <v>2018</v>
      </c>
      <c r="H326" s="4" t="str">
        <f aca="false">IF(E326&lt;DATE(2015,1,1),"2005–2014",IF(E326&lt;DATE(2022,3,5),"2015 – Mar 2022","Mar 2022 – Oct 2026"))</f>
        <v>2015 – Mar 2022</v>
      </c>
      <c r="I326" s="24" t="n">
        <v>146.625</v>
      </c>
      <c r="J326" s="24" t="n">
        <v>147.132</v>
      </c>
      <c r="K326" s="24" t="n">
        <v>144.492</v>
      </c>
      <c r="L326" s="25" t="n">
        <v>4.206</v>
      </c>
      <c r="M326" s="26" t="n">
        <v>50.709</v>
      </c>
      <c r="N326" s="4" t="s">
        <v>33</v>
      </c>
      <c r="O326" s="27" t="n">
        <v>4.2058</v>
      </c>
      <c r="P326" s="28" t="n">
        <f aca="false">Summary!$C$6*O326</f>
        <v>0.021029</v>
      </c>
      <c r="Q326" s="29" t="n">
        <f aca="false">Q325*(1+P326)</f>
        <v>12390.9126287757</v>
      </c>
      <c r="R326" s="29" t="n">
        <f aca="false">MAX(R325,Q326)</f>
        <v>12390.9126287757</v>
      </c>
      <c r="S326" s="30" t="n">
        <f aca="false">Q326/R326-1</f>
        <v>0</v>
      </c>
      <c r="T326" s="31" t="n">
        <f aca="false">DATE(YEAR(F326),MONTH(F326),1)</f>
        <v>43252</v>
      </c>
    </row>
    <row r="327" customFormat="false" ht="15" hidden="false" customHeight="true" outlineLevel="0" collapsed="false">
      <c r="A327" s="4" t="n">
        <v>326</v>
      </c>
      <c r="B327" s="4" t="s">
        <v>28</v>
      </c>
      <c r="C327" s="4" t="s">
        <v>54</v>
      </c>
      <c r="D327" s="23" t="n">
        <v>43283.9166666667</v>
      </c>
      <c r="E327" s="23" t="n">
        <v>43286.2916666667</v>
      </c>
      <c r="F327" s="23" t="n">
        <v>43289.875</v>
      </c>
      <c r="G327" s="4" t="n">
        <f aca="false">YEAR(E327)</f>
        <v>2018</v>
      </c>
      <c r="H327" s="4" t="str">
        <f aca="false">IF(E327&lt;DATE(2015,1,1),"2005–2014",IF(E327&lt;DATE(2022,3,5),"2015 – Mar 2022","Mar 2022 – Oct 2026"))</f>
        <v>2015 – Mar 2022</v>
      </c>
      <c r="I327" s="24" t="n">
        <v>146.595</v>
      </c>
      <c r="J327" s="24" t="n">
        <v>147.112</v>
      </c>
      <c r="K327" s="24" t="n">
        <v>145.008</v>
      </c>
      <c r="L327" s="25" t="n">
        <v>3.07</v>
      </c>
      <c r="M327" s="26" t="n">
        <v>51.702</v>
      </c>
      <c r="N327" s="4" t="s">
        <v>34</v>
      </c>
      <c r="O327" s="27" t="n">
        <v>-1.045</v>
      </c>
      <c r="P327" s="28" t="n">
        <f aca="false">Summary!$C$6*O327</f>
        <v>-0.005225</v>
      </c>
      <c r="Q327" s="29" t="n">
        <f aca="false">Q326*(1+P327)</f>
        <v>12326.1701102903</v>
      </c>
      <c r="R327" s="29" t="n">
        <f aca="false">MAX(R326,Q327)</f>
        <v>12390.9126287757</v>
      </c>
      <c r="S327" s="30" t="n">
        <f aca="false">Q327/R327-1</f>
        <v>-0.00522500000000004</v>
      </c>
      <c r="T327" s="31" t="n">
        <f aca="false">DATE(YEAR(F327),MONTH(F327),1)</f>
        <v>43282</v>
      </c>
    </row>
    <row r="328" customFormat="false" ht="15" hidden="false" customHeight="true" outlineLevel="0" collapsed="false">
      <c r="A328" s="4" t="n">
        <v>327</v>
      </c>
      <c r="B328" s="4" t="s">
        <v>27</v>
      </c>
      <c r="C328" s="4" t="s">
        <v>54</v>
      </c>
      <c r="D328" s="23" t="n">
        <v>43297.9166666667</v>
      </c>
      <c r="E328" s="23" t="n">
        <v>43298.3125</v>
      </c>
      <c r="F328" s="23" t="n">
        <v>43299.34375</v>
      </c>
      <c r="G328" s="4" t="n">
        <f aca="false">YEAR(E328)</f>
        <v>2018</v>
      </c>
      <c r="H328" s="4" t="str">
        <f aca="false">IF(E328&lt;DATE(2015,1,1),"2005–2014",IF(E328&lt;DATE(2022,3,5),"2015 – Mar 2022","Mar 2022 – Oct 2026"))</f>
        <v>2015 – Mar 2022</v>
      </c>
      <c r="I328" s="24" t="n">
        <v>148.749</v>
      </c>
      <c r="J328" s="24" t="n">
        <v>149.218</v>
      </c>
      <c r="K328" s="24" t="n">
        <v>147.32</v>
      </c>
      <c r="L328" s="25" t="n">
        <v>3.046</v>
      </c>
      <c r="M328" s="26" t="n">
        <v>46.912</v>
      </c>
      <c r="N328" s="4" t="s">
        <v>33</v>
      </c>
      <c r="O328" s="27" t="n">
        <v>3.0457</v>
      </c>
      <c r="P328" s="28" t="n">
        <f aca="false">Summary!$C$6*O328</f>
        <v>0.0152285</v>
      </c>
      <c r="Q328" s="29" t="n">
        <f aca="false">Q327*(1+P328)</f>
        <v>12513.8791918149</v>
      </c>
      <c r="R328" s="29" t="n">
        <f aca="false">MAX(R327,Q328)</f>
        <v>12513.8791918149</v>
      </c>
      <c r="S328" s="30" t="n">
        <f aca="false">Q328/R328-1</f>
        <v>0</v>
      </c>
      <c r="T328" s="31" t="n">
        <f aca="false">DATE(YEAR(F328),MONTH(F328),1)</f>
        <v>43282</v>
      </c>
    </row>
    <row r="329" customFormat="false" ht="15" hidden="false" customHeight="true" outlineLevel="0" collapsed="false">
      <c r="A329" s="4" t="n">
        <v>328</v>
      </c>
      <c r="B329" s="4" t="s">
        <v>27</v>
      </c>
      <c r="C329" s="4" t="s">
        <v>54</v>
      </c>
      <c r="D329" s="23" t="n">
        <v>43306.9166666667</v>
      </c>
      <c r="E329" s="23" t="n">
        <v>43307.0208333333</v>
      </c>
      <c r="F329" s="23" t="n">
        <v>43312.2708333333</v>
      </c>
      <c r="G329" s="4" t="n">
        <f aca="false">YEAR(E329)</f>
        <v>2018</v>
      </c>
      <c r="H329" s="4" t="str">
        <f aca="false">IF(E329&lt;DATE(2015,1,1),"2005–2014",IF(E329&lt;DATE(2022,3,5),"2015 – Mar 2022","Mar 2022 – Oct 2026"))</f>
        <v>2015 – Mar 2022</v>
      </c>
      <c r="I329" s="24" t="n">
        <v>146.282</v>
      </c>
      <c r="J329" s="24" t="n">
        <v>146.729</v>
      </c>
      <c r="K329" s="24" t="n">
        <v>144.519</v>
      </c>
      <c r="L329" s="25" t="n">
        <v>3.944</v>
      </c>
      <c r="M329" s="26" t="n">
        <v>44.714</v>
      </c>
      <c r="N329" s="4" t="s">
        <v>35</v>
      </c>
      <c r="O329" s="27" t="n">
        <v>0.0503</v>
      </c>
      <c r="P329" s="28" t="n">
        <f aca="false">Summary!$C$6*O329</f>
        <v>0.0002515</v>
      </c>
      <c r="Q329" s="29" t="n">
        <f aca="false">Q328*(1+P329)</f>
        <v>12517.0264324316</v>
      </c>
      <c r="R329" s="29" t="n">
        <f aca="false">MAX(R328,Q329)</f>
        <v>12517.0264324316</v>
      </c>
      <c r="S329" s="30" t="n">
        <f aca="false">Q329/R329-1</f>
        <v>0</v>
      </c>
      <c r="T329" s="31" t="n">
        <f aca="false">DATE(YEAR(F329),MONTH(F329),1)</f>
        <v>43282</v>
      </c>
    </row>
    <row r="330" customFormat="false" ht="15" hidden="false" customHeight="true" outlineLevel="0" collapsed="false">
      <c r="A330" s="4" t="n">
        <v>329</v>
      </c>
      <c r="B330" s="4" t="s">
        <v>27</v>
      </c>
      <c r="C330" s="4" t="s">
        <v>54</v>
      </c>
      <c r="D330" s="23" t="n">
        <v>43357.9166666667</v>
      </c>
      <c r="E330" s="23" t="n">
        <v>43360.3125</v>
      </c>
      <c r="F330" s="23" t="n">
        <v>43360.46875</v>
      </c>
      <c r="G330" s="4" t="n">
        <f aca="false">YEAR(E330)</f>
        <v>2018</v>
      </c>
      <c r="H330" s="4" t="str">
        <f aca="false">IF(E330&lt;DATE(2015,1,1),"2005–2014",IF(E330&lt;DATE(2022,3,5),"2015 – Mar 2022","Mar 2022 – Oct 2026"))</f>
        <v>2015 – Mar 2022</v>
      </c>
      <c r="I330" s="24" t="n">
        <v>146.463</v>
      </c>
      <c r="J330" s="24" t="n">
        <v>147</v>
      </c>
      <c r="K330" s="24" t="n">
        <v>144.529</v>
      </c>
      <c r="L330" s="25" t="n">
        <v>3.601</v>
      </c>
      <c r="M330" s="26" t="n">
        <v>53.694</v>
      </c>
      <c r="N330" s="4" t="s">
        <v>34</v>
      </c>
      <c r="O330" s="27" t="n">
        <v>-1.014</v>
      </c>
      <c r="P330" s="28" t="n">
        <f aca="false">Summary!$C$6*O330</f>
        <v>-0.00507</v>
      </c>
      <c r="Q330" s="29" t="n">
        <f aca="false">Q329*(1+P330)</f>
        <v>12453.5651084192</v>
      </c>
      <c r="R330" s="29" t="n">
        <f aca="false">MAX(R329,Q330)</f>
        <v>12517.0264324316</v>
      </c>
      <c r="S330" s="30" t="n">
        <f aca="false">Q330/R330-1</f>
        <v>-0.00507000000000002</v>
      </c>
      <c r="T330" s="31" t="n">
        <f aca="false">DATE(YEAR(F330),MONTH(F330),1)</f>
        <v>43344</v>
      </c>
    </row>
    <row r="331" customFormat="false" ht="15" hidden="false" customHeight="true" outlineLevel="0" collapsed="false">
      <c r="A331" s="4" t="n">
        <v>330</v>
      </c>
      <c r="B331" s="4" t="s">
        <v>28</v>
      </c>
      <c r="C331" s="4" t="s">
        <v>53</v>
      </c>
      <c r="D331" s="23" t="n">
        <v>43374.9166666667</v>
      </c>
      <c r="E331" s="23" t="n">
        <v>43375.2916666667</v>
      </c>
      <c r="F331" s="23" t="n">
        <v>43375.375</v>
      </c>
      <c r="G331" s="4" t="n">
        <f aca="false">YEAR(E331)</f>
        <v>2018</v>
      </c>
      <c r="H331" s="4" t="str">
        <f aca="false">IF(E331&lt;DATE(2015,1,1),"2005–2014",IF(E331&lt;DATE(2022,3,5),"2015 – Mar 2022","Mar 2022 – Oct 2026"))</f>
        <v>2015 – Mar 2022</v>
      </c>
      <c r="I331" s="24" t="n">
        <v>147.811</v>
      </c>
      <c r="J331" s="24" t="n">
        <v>147.265</v>
      </c>
      <c r="K331" s="24" t="n">
        <v>149.677</v>
      </c>
      <c r="L331" s="25" t="n">
        <v>3.416</v>
      </c>
      <c r="M331" s="26" t="n">
        <v>54.622</v>
      </c>
      <c r="N331" s="4" t="s">
        <v>34</v>
      </c>
      <c r="O331" s="27" t="n">
        <v>-1.0137</v>
      </c>
      <c r="P331" s="28" t="n">
        <f aca="false">Summary!$C$6*O331</f>
        <v>-0.0050685</v>
      </c>
      <c r="Q331" s="29" t="n">
        <f aca="false">Q330*(1+P331)</f>
        <v>12390.4442136672</v>
      </c>
      <c r="R331" s="29" t="n">
        <f aca="false">MAX(R330,Q331)</f>
        <v>12517.0264324316</v>
      </c>
      <c r="S331" s="30" t="n">
        <f aca="false">Q331/R331-1</f>
        <v>-0.010112802705</v>
      </c>
      <c r="T331" s="31" t="n">
        <f aca="false">DATE(YEAR(F331),MONTH(F331),1)</f>
        <v>43374</v>
      </c>
    </row>
    <row r="332" customFormat="false" ht="15" hidden="false" customHeight="true" outlineLevel="0" collapsed="false">
      <c r="A332" s="4" t="n">
        <v>331</v>
      </c>
      <c r="B332" s="4" t="s">
        <v>28</v>
      </c>
      <c r="C332" s="4" t="s">
        <v>54</v>
      </c>
      <c r="D332" s="23" t="n">
        <v>43375.9166666667</v>
      </c>
      <c r="E332" s="23" t="n">
        <v>43376.09375</v>
      </c>
      <c r="F332" s="23" t="n">
        <v>43376.6979166667</v>
      </c>
      <c r="G332" s="4" t="n">
        <f aca="false">YEAR(E332)</f>
        <v>2018</v>
      </c>
      <c r="H332" s="4" t="str">
        <f aca="false">IF(E332&lt;DATE(2015,1,1),"2005–2014",IF(E332&lt;DATE(2022,3,5),"2015 – Mar 2022","Mar 2022 – Oct 2026"))</f>
        <v>2015 – Mar 2022</v>
      </c>
      <c r="I332" s="24" t="n">
        <v>148.001</v>
      </c>
      <c r="J332" s="24" t="n">
        <v>148.553</v>
      </c>
      <c r="K332" s="24" t="n">
        <v>146.296</v>
      </c>
      <c r="L332" s="25" t="n">
        <v>3.089</v>
      </c>
      <c r="M332" s="26" t="n">
        <v>55.189</v>
      </c>
      <c r="N332" s="4" t="s">
        <v>34</v>
      </c>
      <c r="O332" s="27" t="n">
        <v>-1.0136</v>
      </c>
      <c r="P332" s="28" t="n">
        <f aca="false">Summary!$C$6*O332</f>
        <v>-0.005068</v>
      </c>
      <c r="Q332" s="29" t="n">
        <f aca="false">Q331*(1+P332)</f>
        <v>12327.6494423923</v>
      </c>
      <c r="R332" s="29" t="n">
        <f aca="false">MAX(R331,Q332)</f>
        <v>12517.0264324316</v>
      </c>
      <c r="S332" s="30" t="n">
        <f aca="false">Q332/R332-1</f>
        <v>-0.0151295510208911</v>
      </c>
      <c r="T332" s="31" t="n">
        <f aca="false">DATE(YEAR(F332),MONTH(F332),1)</f>
        <v>43374</v>
      </c>
    </row>
    <row r="333" customFormat="false" ht="15" hidden="false" customHeight="true" outlineLevel="0" collapsed="false">
      <c r="A333" s="4" t="n">
        <v>332</v>
      </c>
      <c r="B333" s="4" t="s">
        <v>28</v>
      </c>
      <c r="C333" s="4" t="s">
        <v>53</v>
      </c>
      <c r="D333" s="23" t="n">
        <v>43376.9166666667</v>
      </c>
      <c r="E333" s="23" t="n">
        <v>43377.0833333333</v>
      </c>
      <c r="F333" s="23" t="n">
        <v>43381.3645833333</v>
      </c>
      <c r="G333" s="4" t="n">
        <f aca="false">YEAR(E333)</f>
        <v>2018</v>
      </c>
      <c r="H333" s="4" t="str">
        <f aca="false">IF(E333&lt;DATE(2015,1,1),"2005–2014",IF(E333&lt;DATE(2022,3,5),"2015 – Mar 2022","Mar 2022 – Oct 2026"))</f>
        <v>2015 – Mar 2022</v>
      </c>
      <c r="I333" s="24" t="n">
        <v>147.804</v>
      </c>
      <c r="J333" s="24" t="n">
        <v>147.253</v>
      </c>
      <c r="K333" s="24" t="n">
        <v>149.677</v>
      </c>
      <c r="L333" s="25" t="n">
        <v>3.398</v>
      </c>
      <c r="M333" s="26" t="n">
        <v>55.116</v>
      </c>
      <c r="N333" s="4" t="s">
        <v>35</v>
      </c>
      <c r="O333" s="27" t="n">
        <v>0.0408</v>
      </c>
      <c r="P333" s="28" t="n">
        <f aca="false">Summary!$C$6*O333</f>
        <v>0.000204</v>
      </c>
      <c r="Q333" s="29" t="n">
        <f aca="false">Q332*(1+P333)</f>
        <v>12330.1642828786</v>
      </c>
      <c r="R333" s="29" t="n">
        <f aca="false">MAX(R332,Q333)</f>
        <v>12517.0264324316</v>
      </c>
      <c r="S333" s="30" t="n">
        <f aca="false">Q333/R333-1</f>
        <v>-0.0149286374492993</v>
      </c>
      <c r="T333" s="31" t="n">
        <f aca="false">DATE(YEAR(F333),MONTH(F333),1)</f>
        <v>43374</v>
      </c>
    </row>
    <row r="334" customFormat="false" ht="15" hidden="false" customHeight="true" outlineLevel="0" collapsed="false">
      <c r="A334" s="4" t="n">
        <v>333</v>
      </c>
      <c r="B334" s="4" t="s">
        <v>27</v>
      </c>
      <c r="C334" s="4" t="s">
        <v>54</v>
      </c>
      <c r="D334" s="23" t="n">
        <v>43383.9166666667</v>
      </c>
      <c r="E334" s="23" t="n">
        <v>43384.2291666667</v>
      </c>
      <c r="F334" s="23" t="n">
        <v>43385.21875</v>
      </c>
      <c r="G334" s="4" t="n">
        <f aca="false">YEAR(E334)</f>
        <v>2018</v>
      </c>
      <c r="H334" s="4" t="str">
        <f aca="false">IF(E334&lt;DATE(2015,1,1),"2005–2014",IF(E334&lt;DATE(2022,3,5),"2015 – Mar 2022","Mar 2022 – Oct 2026"))</f>
        <v>2015 – Mar 2022</v>
      </c>
      <c r="I334" s="24" t="n">
        <v>148.246</v>
      </c>
      <c r="J334" s="24" t="n">
        <v>148.805</v>
      </c>
      <c r="K334" s="24" t="n">
        <v>146.297</v>
      </c>
      <c r="L334" s="25" t="n">
        <v>3.488</v>
      </c>
      <c r="M334" s="26" t="n">
        <v>55.868</v>
      </c>
      <c r="N334" s="4" t="s">
        <v>34</v>
      </c>
      <c r="O334" s="27" t="n">
        <v>-1.0134</v>
      </c>
      <c r="P334" s="28" t="n">
        <f aca="false">Summary!$C$6*O334</f>
        <v>-0.005067</v>
      </c>
      <c r="Q334" s="29" t="n">
        <f aca="false">Q333*(1+P334)</f>
        <v>12267.6873404572</v>
      </c>
      <c r="R334" s="29" t="n">
        <f aca="false">MAX(R333,Q334)</f>
        <v>12517.0264324316</v>
      </c>
      <c r="S334" s="30" t="n">
        <f aca="false">Q334/R334-1</f>
        <v>-0.0199199940433438</v>
      </c>
      <c r="T334" s="31" t="n">
        <f aca="false">DATE(YEAR(F334),MONTH(F334),1)</f>
        <v>43374</v>
      </c>
    </row>
    <row r="335" customFormat="false" ht="15" hidden="false" customHeight="true" outlineLevel="0" collapsed="false">
      <c r="A335" s="4" t="n">
        <v>334</v>
      </c>
      <c r="B335" s="4" t="s">
        <v>28</v>
      </c>
      <c r="C335" s="4" t="s">
        <v>54</v>
      </c>
      <c r="D335" s="23" t="n">
        <v>43385.9166666667</v>
      </c>
      <c r="E335" s="23" t="n">
        <v>43389.3541666667</v>
      </c>
      <c r="F335" s="23" t="n">
        <v>43391.6979166667</v>
      </c>
      <c r="G335" s="4" t="n">
        <f aca="false">YEAR(E335)</f>
        <v>2018</v>
      </c>
      <c r="H335" s="4" t="str">
        <f aca="false">IF(E335&lt;DATE(2015,1,1),"2005–2014",IF(E335&lt;DATE(2022,3,5),"2015 – Mar 2022","Mar 2022 – Oct 2026"))</f>
        <v>2015 – Mar 2022</v>
      </c>
      <c r="I335" s="24" t="n">
        <v>148.016</v>
      </c>
      <c r="J335" s="24" t="n">
        <v>148.578</v>
      </c>
      <c r="K335" s="24" t="n">
        <v>146.298</v>
      </c>
      <c r="L335" s="25" t="n">
        <v>3.058</v>
      </c>
      <c r="M335" s="26" t="n">
        <v>56.191</v>
      </c>
      <c r="N335" s="4" t="s">
        <v>33</v>
      </c>
      <c r="O335" s="27" t="n">
        <v>3.0578</v>
      </c>
      <c r="P335" s="28" t="n">
        <f aca="false">Summary!$C$6*O335</f>
        <v>0.015289</v>
      </c>
      <c r="Q335" s="29" t="n">
        <f aca="false">Q334*(1+P335)</f>
        <v>12455.2480122055</v>
      </c>
      <c r="R335" s="29" t="n">
        <f aca="false">MAX(R334,Q335)</f>
        <v>12517.0264324316</v>
      </c>
      <c r="S335" s="30" t="n">
        <f aca="false">Q335/R335-1</f>
        <v>-0.00493555083227237</v>
      </c>
      <c r="T335" s="31" t="n">
        <f aca="false">DATE(YEAR(F335),MONTH(F335),1)</f>
        <v>43374</v>
      </c>
    </row>
    <row r="336" customFormat="false" ht="15" hidden="false" customHeight="true" outlineLevel="0" collapsed="false">
      <c r="A336" s="4" t="n">
        <v>335</v>
      </c>
      <c r="B336" s="4" t="s">
        <v>28</v>
      </c>
      <c r="C336" s="4" t="s">
        <v>54</v>
      </c>
      <c r="D336" s="23" t="n">
        <v>43391.9166666667</v>
      </c>
      <c r="E336" s="23" t="n">
        <v>43395.2708333333</v>
      </c>
      <c r="F336" s="23" t="n">
        <v>43396.25</v>
      </c>
      <c r="G336" s="4" t="n">
        <f aca="false">YEAR(E336)</f>
        <v>2018</v>
      </c>
      <c r="H336" s="4" t="str">
        <f aca="false">IF(E336&lt;DATE(2015,1,1),"2005–2014",IF(E336&lt;DATE(2022,3,5),"2015 – Mar 2022","Mar 2022 – Oct 2026"))</f>
        <v>2015 – Mar 2022</v>
      </c>
      <c r="I336" s="24" t="n">
        <v>147.569</v>
      </c>
      <c r="J336" s="24" t="n">
        <v>148.136</v>
      </c>
      <c r="K336" s="24" t="n">
        <v>145.659</v>
      </c>
      <c r="L336" s="25" t="n">
        <v>3.367</v>
      </c>
      <c r="M336" s="26" t="n">
        <v>56.731</v>
      </c>
      <c r="N336" s="4" t="s">
        <v>33</v>
      </c>
      <c r="O336" s="27" t="n">
        <v>3.3667</v>
      </c>
      <c r="P336" s="28" t="n">
        <f aca="false">Summary!$C$6*O336</f>
        <v>0.0168335</v>
      </c>
      <c r="Q336" s="29" t="n">
        <f aca="false">Q335*(1+P336)</f>
        <v>12664.9134296189</v>
      </c>
      <c r="R336" s="29" t="n">
        <f aca="false">MAX(R335,Q336)</f>
        <v>12664.9134296189</v>
      </c>
      <c r="S336" s="30" t="n">
        <f aca="false">Q336/R336-1</f>
        <v>0</v>
      </c>
      <c r="T336" s="31" t="n">
        <f aca="false">DATE(YEAR(F336),MONTH(F336),1)</f>
        <v>43374</v>
      </c>
    </row>
    <row r="337" customFormat="false" ht="15" hidden="false" customHeight="true" outlineLevel="0" collapsed="false">
      <c r="A337" s="4" t="n">
        <v>336</v>
      </c>
      <c r="B337" s="4" t="s">
        <v>27</v>
      </c>
      <c r="C337" s="4" t="s">
        <v>54</v>
      </c>
      <c r="D337" s="23" t="n">
        <v>43406.9166666667</v>
      </c>
      <c r="E337" s="23" t="n">
        <v>43409.0833333333</v>
      </c>
      <c r="F337" s="23" t="n">
        <v>43409.78125</v>
      </c>
      <c r="G337" s="4" t="n">
        <f aca="false">YEAR(E337)</f>
        <v>2018</v>
      </c>
      <c r="H337" s="4" t="str">
        <f aca="false">IF(E337&lt;DATE(2015,1,1),"2005–2014",IF(E337&lt;DATE(2022,3,5),"2015 – Mar 2022","Mar 2022 – Oct 2026"))</f>
        <v>2015 – Mar 2022</v>
      </c>
      <c r="I337" s="24" t="n">
        <v>147.084</v>
      </c>
      <c r="J337" s="24" t="n">
        <v>147.669</v>
      </c>
      <c r="K337" s="24" t="n">
        <v>145.016</v>
      </c>
      <c r="L337" s="25" t="n">
        <v>3.532</v>
      </c>
      <c r="M337" s="26" t="n">
        <v>58.535</v>
      </c>
      <c r="N337" s="4" t="s">
        <v>34</v>
      </c>
      <c r="O337" s="27" t="n">
        <v>-1.0128</v>
      </c>
      <c r="P337" s="28" t="n">
        <f aca="false">Summary!$C$6*O337</f>
        <v>-0.005064</v>
      </c>
      <c r="Q337" s="29" t="n">
        <f aca="false">Q336*(1+P337)</f>
        <v>12600.7783080113</v>
      </c>
      <c r="R337" s="29" t="n">
        <f aca="false">MAX(R336,Q337)</f>
        <v>12664.9134296189</v>
      </c>
      <c r="S337" s="30" t="n">
        <f aca="false">Q337/R337-1</f>
        <v>-0.00506399999999996</v>
      </c>
      <c r="T337" s="31" t="n">
        <f aca="false">DATE(YEAR(F337),MONTH(F337),1)</f>
        <v>43405</v>
      </c>
    </row>
    <row r="338" customFormat="false" ht="15" hidden="false" customHeight="true" outlineLevel="0" collapsed="false">
      <c r="A338" s="4" t="n">
        <v>337</v>
      </c>
      <c r="B338" s="4" t="s">
        <v>28</v>
      </c>
      <c r="C338" s="4" t="s">
        <v>54</v>
      </c>
      <c r="D338" s="23" t="n">
        <v>43416.9166666667</v>
      </c>
      <c r="E338" s="23" t="n">
        <v>43417.5208333333</v>
      </c>
      <c r="F338" s="23" t="n">
        <v>43417.65625</v>
      </c>
      <c r="G338" s="4" t="n">
        <f aca="false">YEAR(E338)</f>
        <v>2018</v>
      </c>
      <c r="H338" s="4" t="str">
        <f aca="false">IF(E338&lt;DATE(2015,1,1),"2005–2014",IF(E338&lt;DATE(2022,3,5),"2015 – Mar 2022","Mar 2022 – Oct 2026"))</f>
        <v>2015 – Mar 2022</v>
      </c>
      <c r="I338" s="24" t="n">
        <v>147.581</v>
      </c>
      <c r="J338" s="24" t="n">
        <v>148.14</v>
      </c>
      <c r="K338" s="24" t="n">
        <v>145.658</v>
      </c>
      <c r="L338" s="25" t="n">
        <v>3.44</v>
      </c>
      <c r="M338" s="26" t="n">
        <v>55.897</v>
      </c>
      <c r="N338" s="4" t="s">
        <v>34</v>
      </c>
      <c r="O338" s="27" t="n">
        <v>-1.0134</v>
      </c>
      <c r="P338" s="28" t="n">
        <f aca="false">Summary!$C$6*O338</f>
        <v>-0.005067</v>
      </c>
      <c r="Q338" s="29" t="n">
        <f aca="false">Q337*(1+P338)</f>
        <v>12536.9301643247</v>
      </c>
      <c r="R338" s="29" t="n">
        <f aca="false">MAX(R337,Q338)</f>
        <v>12664.9134296189</v>
      </c>
      <c r="S338" s="30" t="n">
        <f aca="false">Q338/R338-1</f>
        <v>-0.0101053407119999</v>
      </c>
      <c r="T338" s="31" t="n">
        <f aca="false">DATE(YEAR(F338),MONTH(F338),1)</f>
        <v>43405</v>
      </c>
    </row>
    <row r="339" customFormat="false" ht="15" hidden="false" customHeight="true" outlineLevel="0" collapsed="false">
      <c r="A339" s="4" t="n">
        <v>338</v>
      </c>
      <c r="B339" s="4" t="s">
        <v>27</v>
      </c>
      <c r="C339" s="4" t="s">
        <v>53</v>
      </c>
      <c r="D339" s="23" t="n">
        <v>43418.9166666667</v>
      </c>
      <c r="E339" s="23" t="n">
        <v>43419.1145833333</v>
      </c>
      <c r="F339" s="23" t="n">
        <v>43419.3541666667</v>
      </c>
      <c r="G339" s="4" t="n">
        <f aca="false">YEAR(E339)</f>
        <v>2018</v>
      </c>
      <c r="H339" s="4" t="str">
        <f aca="false">IF(E339&lt;DATE(2015,1,1),"2005–2014",IF(E339&lt;DATE(2022,3,5),"2015 – Mar 2022","Mar 2022 – Oct 2026"))</f>
        <v>2015 – Mar 2022</v>
      </c>
      <c r="I339" s="24" t="n">
        <v>147.656</v>
      </c>
      <c r="J339" s="24" t="n">
        <v>147.038</v>
      </c>
      <c r="K339" s="24" t="n">
        <v>149.669</v>
      </c>
      <c r="L339" s="25" t="n">
        <v>3.258</v>
      </c>
      <c r="M339" s="26" t="n">
        <v>61.782</v>
      </c>
      <c r="N339" s="4" t="s">
        <v>34</v>
      </c>
      <c r="O339" s="27" t="n">
        <v>-1.0121</v>
      </c>
      <c r="P339" s="28" t="n">
        <f aca="false">Summary!$C$6*O339</f>
        <v>-0.0050605</v>
      </c>
      <c r="Q339" s="29" t="n">
        <f aca="false">Q338*(1+P339)</f>
        <v>12473.4870292281</v>
      </c>
      <c r="R339" s="29" t="n">
        <f aca="false">MAX(R338,Q339)</f>
        <v>12664.9134296189</v>
      </c>
      <c r="S339" s="30" t="n">
        <f aca="false">Q339/R339-1</f>
        <v>-0.0151147026353269</v>
      </c>
      <c r="T339" s="31" t="n">
        <f aca="false">DATE(YEAR(F339),MONTH(F339),1)</f>
        <v>43405</v>
      </c>
    </row>
    <row r="340" customFormat="false" ht="15" hidden="false" customHeight="true" outlineLevel="0" collapsed="false">
      <c r="A340" s="4" t="n">
        <v>339</v>
      </c>
      <c r="B340" s="4" t="s">
        <v>28</v>
      </c>
      <c r="C340" s="4" t="s">
        <v>54</v>
      </c>
      <c r="D340" s="23" t="n">
        <v>43438.9166666667</v>
      </c>
      <c r="E340" s="23" t="n">
        <v>43439.4479166667</v>
      </c>
      <c r="F340" s="23" t="n">
        <v>43440.875</v>
      </c>
      <c r="G340" s="4" t="n">
        <f aca="false">YEAR(E340)</f>
        <v>2018</v>
      </c>
      <c r="H340" s="4" t="str">
        <f aca="false">IF(E340&lt;DATE(2015,1,1),"2005–2014",IF(E340&lt;DATE(2022,3,5),"2015 – Mar 2022","Mar 2022 – Oct 2026"))</f>
        <v>2015 – Mar 2022</v>
      </c>
      <c r="I340" s="24" t="n">
        <v>144.195</v>
      </c>
      <c r="J340" s="24" t="n">
        <v>144.752</v>
      </c>
      <c r="K340" s="24" t="n">
        <v>140.616</v>
      </c>
      <c r="L340" s="25" t="n">
        <v>6.433</v>
      </c>
      <c r="M340" s="26" t="n">
        <v>55.642</v>
      </c>
      <c r="N340" s="4" t="s">
        <v>35</v>
      </c>
      <c r="O340" s="27" t="n">
        <v>0.0404</v>
      </c>
      <c r="P340" s="28" t="n">
        <f aca="false">Summary!$C$6*O340</f>
        <v>0.000202</v>
      </c>
      <c r="Q340" s="29" t="n">
        <f aca="false">Q339*(1+P340)</f>
        <v>12476.006673608</v>
      </c>
      <c r="R340" s="29" t="n">
        <f aca="false">MAX(R339,Q340)</f>
        <v>12664.9134296189</v>
      </c>
      <c r="S340" s="30" t="n">
        <f aca="false">Q340/R340-1</f>
        <v>-0.0149157558052592</v>
      </c>
      <c r="T340" s="31" t="n">
        <f aca="false">DATE(YEAR(F340),MONTH(F340),1)</f>
        <v>43435</v>
      </c>
    </row>
    <row r="341" customFormat="false" ht="15" hidden="false" customHeight="true" outlineLevel="0" collapsed="false">
      <c r="A341" s="4" t="n">
        <v>340</v>
      </c>
      <c r="B341" s="4" t="s">
        <v>27</v>
      </c>
      <c r="C341" s="4" t="s">
        <v>54</v>
      </c>
      <c r="D341" s="23" t="n">
        <v>43489.9166666667</v>
      </c>
      <c r="E341" s="23" t="n">
        <v>43490.4895833333</v>
      </c>
      <c r="F341" s="23" t="n">
        <v>43490.6666666667</v>
      </c>
      <c r="G341" s="4" t="n">
        <f aca="false">YEAR(E341)</f>
        <v>2019</v>
      </c>
      <c r="H341" s="4" t="str">
        <f aca="false">IF(E341&lt;DATE(2015,1,1),"2005–2014",IF(E341&lt;DATE(2022,3,5),"2015 – Mar 2022","Mar 2022 – Oct 2026"))</f>
        <v>2015 – Mar 2022</v>
      </c>
      <c r="I341" s="24" t="n">
        <v>143.832</v>
      </c>
      <c r="J341" s="24" t="n">
        <v>144.492</v>
      </c>
      <c r="K341" s="24" t="n">
        <v>141.649</v>
      </c>
      <c r="L341" s="25" t="n">
        <v>3.306</v>
      </c>
      <c r="M341" s="26" t="n">
        <v>66.039</v>
      </c>
      <c r="N341" s="4" t="s">
        <v>34</v>
      </c>
      <c r="O341" s="27" t="n">
        <v>-1.0114</v>
      </c>
      <c r="P341" s="28" t="n">
        <f aca="false">Summary!$C$6*O341</f>
        <v>-0.005057</v>
      </c>
      <c r="Q341" s="29" t="n">
        <f aca="false">Q340*(1+P341)</f>
        <v>12412.9155078596</v>
      </c>
      <c r="R341" s="29" t="n">
        <f aca="false">MAX(R340,Q341)</f>
        <v>12664.9134296189</v>
      </c>
      <c r="S341" s="30" t="n">
        <f aca="false">Q341/R341-1</f>
        <v>-0.0198973268281519</v>
      </c>
      <c r="T341" s="31" t="n">
        <f aca="false">DATE(YEAR(F341),MONTH(F341),1)</f>
        <v>43466</v>
      </c>
    </row>
    <row r="342" customFormat="false" ht="15" hidden="false" customHeight="true" outlineLevel="0" collapsed="false">
      <c r="A342" s="4" t="n">
        <v>341</v>
      </c>
      <c r="B342" s="4" t="s">
        <v>28</v>
      </c>
      <c r="C342" s="4" t="s">
        <v>53</v>
      </c>
      <c r="D342" s="23" t="n">
        <v>43490.9166666667</v>
      </c>
      <c r="E342" s="23" t="n">
        <v>43493.3854166667</v>
      </c>
      <c r="F342" s="23" t="n">
        <v>43494.8229166667</v>
      </c>
      <c r="G342" s="4" t="n">
        <f aca="false">YEAR(E342)</f>
        <v>2019</v>
      </c>
      <c r="H342" s="4" t="str">
        <f aca="false">IF(E342&lt;DATE(2015,1,1),"2005–2014",IF(E342&lt;DATE(2022,3,5),"2015 – Mar 2022","Mar 2022 – Oct 2026"))</f>
        <v>2015 – Mar 2022</v>
      </c>
      <c r="I342" s="24" t="n">
        <v>143.982</v>
      </c>
      <c r="J342" s="24" t="n">
        <v>143.318</v>
      </c>
      <c r="K342" s="24" t="n">
        <v>146.148</v>
      </c>
      <c r="L342" s="25" t="n">
        <v>3.26</v>
      </c>
      <c r="M342" s="26" t="n">
        <v>66.441</v>
      </c>
      <c r="N342" s="4" t="s">
        <v>34</v>
      </c>
      <c r="O342" s="27" t="n">
        <v>-1.0113</v>
      </c>
      <c r="P342" s="28" t="n">
        <f aca="false">Summary!$C$6*O342</f>
        <v>-0.0050565</v>
      </c>
      <c r="Q342" s="29" t="n">
        <f aca="false">Q341*(1+P342)</f>
        <v>12350.1496005941</v>
      </c>
      <c r="R342" s="29" t="n">
        <f aca="false">MAX(R341,Q342)</f>
        <v>12664.9134296189</v>
      </c>
      <c r="S342" s="30" t="n">
        <f aca="false">Q342/R342-1</f>
        <v>-0.0248532159950454</v>
      </c>
      <c r="T342" s="31" t="n">
        <f aca="false">DATE(YEAR(F342),MONTH(F342),1)</f>
        <v>43466</v>
      </c>
    </row>
    <row r="343" customFormat="false" ht="15" hidden="false" customHeight="true" outlineLevel="0" collapsed="false">
      <c r="A343" s="4" t="n">
        <v>342</v>
      </c>
      <c r="B343" s="4" t="s">
        <v>28</v>
      </c>
      <c r="C343" s="4" t="s">
        <v>54</v>
      </c>
      <c r="D343" s="23" t="n">
        <v>43494.9166666667</v>
      </c>
      <c r="E343" s="23" t="n">
        <v>43500.3333333333</v>
      </c>
      <c r="F343" s="23" t="n">
        <v>43503.4791666667</v>
      </c>
      <c r="G343" s="4" t="n">
        <f aca="false">YEAR(E343)</f>
        <v>2019</v>
      </c>
      <c r="H343" s="4" t="str">
        <f aca="false">IF(E343&lt;DATE(2015,1,1),"2005–2014",IF(E343&lt;DATE(2022,3,5),"2015 – Mar 2022","Mar 2022 – Oct 2026"))</f>
        <v>2015 – Mar 2022</v>
      </c>
      <c r="I343" s="24" t="n">
        <v>143.799</v>
      </c>
      <c r="J343" s="24" t="n">
        <v>144.454</v>
      </c>
      <c r="K343" s="24" t="n">
        <v>141.648</v>
      </c>
      <c r="L343" s="25" t="n">
        <v>3.286</v>
      </c>
      <c r="M343" s="26" t="n">
        <v>65.472</v>
      </c>
      <c r="N343" s="4" t="s">
        <v>33</v>
      </c>
      <c r="O343" s="27" t="n">
        <v>3.2862</v>
      </c>
      <c r="P343" s="28" t="n">
        <f aca="false">Summary!$C$6*O343</f>
        <v>0.016431</v>
      </c>
      <c r="Q343" s="29" t="n">
        <f aca="false">Q342*(1+P343)</f>
        <v>12553.0749086814</v>
      </c>
      <c r="R343" s="29" t="n">
        <f aca="false">MAX(R342,Q343)</f>
        <v>12664.9134296189</v>
      </c>
      <c r="S343" s="30" t="n">
        <f aca="false">Q343/R343-1</f>
        <v>-0.00883057918705987</v>
      </c>
      <c r="T343" s="31" t="n">
        <f aca="false">DATE(YEAR(F343),MONTH(F343),1)</f>
        <v>43497</v>
      </c>
    </row>
    <row r="344" customFormat="false" ht="15" hidden="false" customHeight="true" outlineLevel="0" collapsed="false">
      <c r="A344" s="4" t="n">
        <v>343</v>
      </c>
      <c r="B344" s="4" t="s">
        <v>27</v>
      </c>
      <c r="C344" s="4" t="s">
        <v>54</v>
      </c>
      <c r="D344" s="23" t="n">
        <v>43509.9166666667</v>
      </c>
      <c r="E344" s="23" t="n">
        <v>43510.0208333333</v>
      </c>
      <c r="F344" s="23" t="n">
        <v>43513.9166666667</v>
      </c>
      <c r="G344" s="4" t="n">
        <f aca="false">YEAR(E344)</f>
        <v>2019</v>
      </c>
      <c r="H344" s="4" t="str">
        <f aca="false">IF(E344&lt;DATE(2015,1,1),"2005–2014",IF(E344&lt;DATE(2022,3,5),"2015 – Mar 2022","Mar 2022 – Oct 2026"))</f>
        <v>2015 – Mar 2022</v>
      </c>
      <c r="I344" s="24" t="n">
        <v>142.55</v>
      </c>
      <c r="J344" s="24" t="n">
        <v>143.067</v>
      </c>
      <c r="K344" s="24" t="n">
        <v>140.611</v>
      </c>
      <c r="L344" s="25" t="n">
        <v>3.75</v>
      </c>
      <c r="M344" s="26" t="n">
        <v>51.709</v>
      </c>
      <c r="N344" s="4" t="s">
        <v>35</v>
      </c>
      <c r="O344" s="27" t="n">
        <v>-0.1673</v>
      </c>
      <c r="P344" s="28" t="n">
        <f aca="false">Summary!$C$6*O344</f>
        <v>-0.0008365</v>
      </c>
      <c r="Q344" s="29" t="n">
        <f aca="false">Q343*(1+P344)</f>
        <v>12542.5742615203</v>
      </c>
      <c r="R344" s="29" t="n">
        <f aca="false">MAX(R343,Q344)</f>
        <v>12664.9134296189</v>
      </c>
      <c r="S344" s="30" t="n">
        <f aca="false">Q344/R344-1</f>
        <v>-0.00965969240756992</v>
      </c>
      <c r="T344" s="31" t="n">
        <f aca="false">DATE(YEAR(F344),MONTH(F344),1)</f>
        <v>43497</v>
      </c>
    </row>
    <row r="345" customFormat="false" ht="15" hidden="false" customHeight="true" outlineLevel="0" collapsed="false">
      <c r="A345" s="4" t="n">
        <v>344</v>
      </c>
      <c r="B345" s="4" t="s">
        <v>28</v>
      </c>
      <c r="C345" s="4" t="s">
        <v>53</v>
      </c>
      <c r="D345" s="23" t="n">
        <v>43515.9166666667</v>
      </c>
      <c r="E345" s="23" t="n">
        <v>43518.5729166667</v>
      </c>
      <c r="F345" s="23" t="n">
        <v>43521.7291666667</v>
      </c>
      <c r="G345" s="4" t="n">
        <f aca="false">YEAR(E345)</f>
        <v>2019</v>
      </c>
      <c r="H345" s="4" t="str">
        <f aca="false">IF(E345&lt;DATE(2015,1,1),"2005–2014",IF(E345&lt;DATE(2022,3,5),"2015 – Mar 2022","Mar 2022 – Oct 2026"))</f>
        <v>2015 – Mar 2022</v>
      </c>
      <c r="I345" s="24" t="n">
        <v>143.812</v>
      </c>
      <c r="J345" s="24" t="n">
        <v>143.269</v>
      </c>
      <c r="K345" s="24" t="n">
        <v>145.488</v>
      </c>
      <c r="L345" s="25" t="n">
        <v>3.084</v>
      </c>
      <c r="M345" s="26" t="n">
        <v>54.319</v>
      </c>
      <c r="N345" s="4" t="s">
        <v>33</v>
      </c>
      <c r="O345" s="27" t="n">
        <v>3.0843</v>
      </c>
      <c r="P345" s="28" t="n">
        <f aca="false">Summary!$C$6*O345</f>
        <v>0.0154215</v>
      </c>
      <c r="Q345" s="29" t="n">
        <f aca="false">Q344*(1+P345)</f>
        <v>12735.9995704944</v>
      </c>
      <c r="R345" s="29" t="n">
        <f aca="false">MAX(R344,Q345)</f>
        <v>12735.9995704944</v>
      </c>
      <c r="S345" s="30" t="n">
        <f aca="false">Q345/R345-1</f>
        <v>0</v>
      </c>
      <c r="T345" s="31" t="n">
        <f aca="false">DATE(YEAR(F345),MONTH(F345),1)</f>
        <v>43497</v>
      </c>
    </row>
    <row r="346" customFormat="false" ht="15" hidden="false" customHeight="true" outlineLevel="0" collapsed="false">
      <c r="A346" s="4" t="n">
        <v>345</v>
      </c>
      <c r="B346" s="4" t="s">
        <v>28</v>
      </c>
      <c r="C346" s="4" t="s">
        <v>53</v>
      </c>
      <c r="D346" s="23" t="n">
        <v>43537.9166666667</v>
      </c>
      <c r="E346" s="23" t="n">
        <v>43538</v>
      </c>
      <c r="F346" s="23" t="n">
        <v>43538.4270833333</v>
      </c>
      <c r="G346" s="4" t="n">
        <f aca="false">YEAR(E346)</f>
        <v>2019</v>
      </c>
      <c r="H346" s="4" t="str">
        <f aca="false">IF(E346&lt;DATE(2015,1,1),"2005–2014",IF(E346&lt;DATE(2022,3,5),"2015 – Mar 2022","Mar 2022 – Oct 2026"))</f>
        <v>2015 – Mar 2022</v>
      </c>
      <c r="I346" s="24" t="n">
        <v>147.592</v>
      </c>
      <c r="J346" s="24" t="n">
        <v>146.903</v>
      </c>
      <c r="K346" s="24" t="n">
        <v>149.66</v>
      </c>
      <c r="L346" s="25" t="n">
        <v>3.002</v>
      </c>
      <c r="M346" s="26" t="n">
        <v>68.882</v>
      </c>
      <c r="N346" s="4" t="s">
        <v>35</v>
      </c>
      <c r="O346" s="27" t="n">
        <v>0.0327</v>
      </c>
      <c r="P346" s="28" t="n">
        <f aca="false">Summary!$C$6*O346</f>
        <v>0.0001635</v>
      </c>
      <c r="Q346" s="29" t="n">
        <f aca="false">Q345*(1+P346)</f>
        <v>12738.0819064241</v>
      </c>
      <c r="R346" s="29" t="n">
        <f aca="false">MAX(R345,Q346)</f>
        <v>12738.0819064241</v>
      </c>
      <c r="S346" s="30" t="n">
        <f aca="false">Q346/R346-1</f>
        <v>0</v>
      </c>
      <c r="T346" s="31" t="n">
        <f aca="false">DATE(YEAR(F346),MONTH(F346),1)</f>
        <v>43525</v>
      </c>
    </row>
    <row r="347" customFormat="false" ht="15" hidden="false" customHeight="true" outlineLevel="0" collapsed="false">
      <c r="A347" s="4" t="n">
        <v>346</v>
      </c>
      <c r="B347" s="4" t="s">
        <v>27</v>
      </c>
      <c r="C347" s="4" t="s">
        <v>53</v>
      </c>
      <c r="D347" s="23" t="n">
        <v>43538.9166666667</v>
      </c>
      <c r="E347" s="23" t="n">
        <v>43539.2916666667</v>
      </c>
      <c r="F347" s="23" t="n">
        <v>43542.6458333333</v>
      </c>
      <c r="G347" s="4" t="n">
        <f aca="false">YEAR(E347)</f>
        <v>2019</v>
      </c>
      <c r="H347" s="4" t="str">
        <f aca="false">IF(E347&lt;DATE(2015,1,1),"2005–2014",IF(E347&lt;DATE(2022,3,5),"2015 – Mar 2022","Mar 2022 – Oct 2026"))</f>
        <v>2015 – Mar 2022</v>
      </c>
      <c r="I347" s="24" t="n">
        <v>147.959</v>
      </c>
      <c r="J347" s="24" t="n">
        <v>147.276</v>
      </c>
      <c r="K347" s="24" t="n">
        <v>150.283</v>
      </c>
      <c r="L347" s="25" t="n">
        <v>3.401</v>
      </c>
      <c r="M347" s="26" t="n">
        <v>68.32</v>
      </c>
      <c r="N347" s="4" t="s">
        <v>34</v>
      </c>
      <c r="O347" s="27" t="n">
        <v>-1.011</v>
      </c>
      <c r="P347" s="28" t="n">
        <f aca="false">Summary!$C$6*O347</f>
        <v>-0.005055</v>
      </c>
      <c r="Q347" s="29" t="n">
        <f aca="false">Q346*(1+P347)</f>
        <v>12673.6909023872</v>
      </c>
      <c r="R347" s="29" t="n">
        <f aca="false">MAX(R346,Q347)</f>
        <v>12738.0819064241</v>
      </c>
      <c r="S347" s="30" t="n">
        <f aca="false">Q347/R347-1</f>
        <v>-0.00505500000000003</v>
      </c>
      <c r="T347" s="31" t="n">
        <f aca="false">DATE(YEAR(F347),MONTH(F347),1)</f>
        <v>43525</v>
      </c>
    </row>
    <row r="348" customFormat="false" ht="15" hidden="false" customHeight="true" outlineLevel="0" collapsed="false">
      <c r="A348" s="4" t="n">
        <v>347</v>
      </c>
      <c r="B348" s="4" t="s">
        <v>27</v>
      </c>
      <c r="C348" s="4" t="s">
        <v>54</v>
      </c>
      <c r="D348" s="23" t="n">
        <v>43543.9166666667</v>
      </c>
      <c r="E348" s="23" t="n">
        <v>43544.1458333333</v>
      </c>
      <c r="F348" s="23" t="n">
        <v>43545.1666666667</v>
      </c>
      <c r="G348" s="4" t="n">
        <f aca="false">YEAR(E348)</f>
        <v>2019</v>
      </c>
      <c r="H348" s="4" t="str">
        <f aca="false">IF(E348&lt;DATE(2015,1,1),"2005–2014",IF(E348&lt;DATE(2022,3,5),"2015 – Mar 2022","Mar 2022 – Oct 2026"))</f>
        <v>2015 – Mar 2022</v>
      </c>
      <c r="I348" s="24" t="n">
        <v>147.94</v>
      </c>
      <c r="J348" s="24" t="n">
        <v>148.564</v>
      </c>
      <c r="K348" s="24" t="n">
        <v>145.858</v>
      </c>
      <c r="L348" s="25" t="n">
        <v>3.338</v>
      </c>
      <c r="M348" s="26" t="n">
        <v>62.373</v>
      </c>
      <c r="N348" s="4" t="s">
        <v>33</v>
      </c>
      <c r="O348" s="27" t="n">
        <v>3.3379</v>
      </c>
      <c r="P348" s="28" t="n">
        <f aca="false">Summary!$C$6*O348</f>
        <v>0.0166895</v>
      </c>
      <c r="Q348" s="29" t="n">
        <f aca="false">Q347*(1+P348)</f>
        <v>12885.2084667025</v>
      </c>
      <c r="R348" s="29" t="n">
        <f aca="false">MAX(R347,Q348)</f>
        <v>12885.2084667025</v>
      </c>
      <c r="S348" s="30" t="n">
        <f aca="false">Q348/R348-1</f>
        <v>0</v>
      </c>
      <c r="T348" s="31" t="n">
        <f aca="false">DATE(YEAR(F348),MONTH(F348),1)</f>
        <v>43525</v>
      </c>
    </row>
    <row r="349" customFormat="false" ht="15" hidden="false" customHeight="true" outlineLevel="0" collapsed="false">
      <c r="A349" s="4" t="n">
        <v>348</v>
      </c>
      <c r="B349" s="4" t="s">
        <v>27</v>
      </c>
      <c r="C349" s="4" t="s">
        <v>53</v>
      </c>
      <c r="D349" s="23" t="n">
        <v>43546.9166666667</v>
      </c>
      <c r="E349" s="23" t="n">
        <v>43548.9895833333</v>
      </c>
      <c r="F349" s="23" t="n">
        <v>43549.03125</v>
      </c>
      <c r="G349" s="4" t="n">
        <f aca="false">YEAR(E349)</f>
        <v>2019</v>
      </c>
      <c r="H349" s="4" t="str">
        <f aca="false">IF(E349&lt;DATE(2015,1,1),"2005–2014",IF(E349&lt;DATE(2022,3,5),"2015 – Mar 2022","Mar 2022 – Oct 2026"))</f>
        <v>2015 – Mar 2022</v>
      </c>
      <c r="I349" s="24" t="n">
        <v>145.418</v>
      </c>
      <c r="J349" s="24" t="n">
        <v>144.766</v>
      </c>
      <c r="K349" s="24" t="n">
        <v>147.428</v>
      </c>
      <c r="L349" s="25" t="n">
        <v>3.083</v>
      </c>
      <c r="M349" s="26" t="n">
        <v>65.202</v>
      </c>
      <c r="N349" s="4" t="s">
        <v>34</v>
      </c>
      <c r="O349" s="27" t="n">
        <v>-1.0115</v>
      </c>
      <c r="P349" s="28" t="n">
        <f aca="false">Summary!$C$6*O349</f>
        <v>-0.0050575</v>
      </c>
      <c r="Q349" s="29" t="n">
        <f aca="false">Q348*(1+P349)</f>
        <v>12820.0415248822</v>
      </c>
      <c r="R349" s="29" t="n">
        <f aca="false">MAX(R348,Q349)</f>
        <v>12885.2084667025</v>
      </c>
      <c r="S349" s="30" t="n">
        <f aca="false">Q349/R349-1</f>
        <v>-0.00505750000000005</v>
      </c>
      <c r="T349" s="31" t="n">
        <f aca="false">DATE(YEAR(F349),MONTH(F349),1)</f>
        <v>43525</v>
      </c>
    </row>
    <row r="350" customFormat="false" ht="15" hidden="false" customHeight="true" outlineLevel="0" collapsed="false">
      <c r="A350" s="4" t="n">
        <v>349</v>
      </c>
      <c r="B350" s="4" t="s">
        <v>27</v>
      </c>
      <c r="C350" s="4" t="s">
        <v>54</v>
      </c>
      <c r="D350" s="23" t="n">
        <v>43565.9166666667</v>
      </c>
      <c r="E350" s="23" t="n">
        <v>43566.2708333333</v>
      </c>
      <c r="F350" s="23" t="n">
        <v>43567.03125</v>
      </c>
      <c r="G350" s="4" t="n">
        <f aca="false">YEAR(E350)</f>
        <v>2019</v>
      </c>
      <c r="H350" s="4" t="str">
        <f aca="false">IF(E350&lt;DATE(2015,1,1),"2005–2014",IF(E350&lt;DATE(2022,3,5),"2015 – Mar 2022","Mar 2022 – Oct 2026"))</f>
        <v>2015 – Mar 2022</v>
      </c>
      <c r="I350" s="24" t="n">
        <v>145.417</v>
      </c>
      <c r="J350" s="24" t="n">
        <v>145.989</v>
      </c>
      <c r="K350" s="24" t="n">
        <v>143.597</v>
      </c>
      <c r="L350" s="25" t="n">
        <v>3.183</v>
      </c>
      <c r="M350" s="26" t="n">
        <v>57.187</v>
      </c>
      <c r="N350" s="4" t="s">
        <v>34</v>
      </c>
      <c r="O350" s="27" t="n">
        <v>-1.0131</v>
      </c>
      <c r="P350" s="28" t="n">
        <f aca="false">Summary!$C$6*O350</f>
        <v>-0.0050655</v>
      </c>
      <c r="Q350" s="29" t="n">
        <f aca="false">Q349*(1+P350)</f>
        <v>12755.1016045379</v>
      </c>
      <c r="R350" s="29" t="n">
        <f aca="false">MAX(R349,Q350)</f>
        <v>12885.2084667025</v>
      </c>
      <c r="S350" s="30" t="n">
        <f aca="false">Q350/R350-1</f>
        <v>-0.01009738123375</v>
      </c>
      <c r="T350" s="31" t="n">
        <f aca="false">DATE(YEAR(F350),MONTH(F350),1)</f>
        <v>43556</v>
      </c>
    </row>
    <row r="351" customFormat="false" ht="15" hidden="false" customHeight="true" outlineLevel="0" collapsed="false">
      <c r="A351" s="4" t="n">
        <v>350</v>
      </c>
      <c r="B351" s="4" t="s">
        <v>27</v>
      </c>
      <c r="C351" s="4" t="s">
        <v>54</v>
      </c>
      <c r="D351" s="23" t="n">
        <v>43567.9166666667</v>
      </c>
      <c r="E351" s="23" t="n">
        <v>43570.2708333333</v>
      </c>
      <c r="F351" s="23" t="n">
        <v>43578.7291666667</v>
      </c>
      <c r="G351" s="4" t="n">
        <f aca="false">YEAR(E351)</f>
        <v>2019</v>
      </c>
      <c r="H351" s="4" t="str">
        <f aca="false">IF(E351&lt;DATE(2015,1,1),"2005–2014",IF(E351&lt;DATE(2022,3,5),"2015 – Mar 2022","Mar 2022 – Oct 2026"))</f>
        <v>2015 – Mar 2022</v>
      </c>
      <c r="I351" s="24" t="n">
        <v>146.547</v>
      </c>
      <c r="J351" s="24" t="n">
        <v>147.1</v>
      </c>
      <c r="K351" s="24" t="n">
        <v>144.645</v>
      </c>
      <c r="L351" s="25" t="n">
        <v>3.436</v>
      </c>
      <c r="M351" s="26" t="n">
        <v>55.343</v>
      </c>
      <c r="N351" s="4" t="s">
        <v>33</v>
      </c>
      <c r="O351" s="27" t="n">
        <v>3.4359</v>
      </c>
      <c r="P351" s="28" t="n">
        <f aca="false">Summary!$C$6*O351</f>
        <v>0.0171795</v>
      </c>
      <c r="Q351" s="29" t="n">
        <f aca="false">Q350*(1+P351)</f>
        <v>12974.2278725531</v>
      </c>
      <c r="R351" s="29" t="n">
        <f aca="false">MAX(R350,Q351)</f>
        <v>12974.2278725531</v>
      </c>
      <c r="S351" s="30" t="n">
        <f aca="false">Q351/R351-1</f>
        <v>0</v>
      </c>
      <c r="T351" s="31" t="n">
        <f aca="false">DATE(YEAR(F351),MONTH(F351),1)</f>
        <v>43556</v>
      </c>
    </row>
    <row r="352" customFormat="false" ht="15" hidden="false" customHeight="true" outlineLevel="0" collapsed="false">
      <c r="A352" s="4" t="n">
        <v>351</v>
      </c>
      <c r="B352" s="4" t="s">
        <v>28</v>
      </c>
      <c r="C352" s="4" t="s">
        <v>54</v>
      </c>
      <c r="D352" s="23" t="n">
        <v>43580.9166666667</v>
      </c>
      <c r="E352" s="23" t="n">
        <v>43581.4375</v>
      </c>
      <c r="F352" s="23" t="n">
        <v>43584.34375</v>
      </c>
      <c r="G352" s="4" t="n">
        <f aca="false">YEAR(E352)</f>
        <v>2019</v>
      </c>
      <c r="H352" s="4" t="str">
        <f aca="false">IF(E352&lt;DATE(2015,1,1),"2005–2014",IF(E352&lt;DATE(2022,3,5),"2015 – Mar 2022","Mar 2022 – Oct 2026"))</f>
        <v>2015 – Mar 2022</v>
      </c>
      <c r="I352" s="24" t="n">
        <v>144.306</v>
      </c>
      <c r="J352" s="24" t="n">
        <v>144.727</v>
      </c>
      <c r="K352" s="24" t="n">
        <v>143.011</v>
      </c>
      <c r="L352" s="25" t="n">
        <v>3.08</v>
      </c>
      <c r="M352" s="26" t="n">
        <v>42.051</v>
      </c>
      <c r="N352" s="4" t="s">
        <v>34</v>
      </c>
      <c r="O352" s="27" t="n">
        <v>-1.0178</v>
      </c>
      <c r="P352" s="28" t="n">
        <f aca="false">Summary!$C$6*O352</f>
        <v>-0.005089</v>
      </c>
      <c r="Q352" s="29" t="n">
        <f aca="false">Q351*(1+P352)</f>
        <v>12908.2020269096</v>
      </c>
      <c r="R352" s="29" t="n">
        <f aca="false">MAX(R351,Q352)</f>
        <v>12974.2278725531</v>
      </c>
      <c r="S352" s="30" t="n">
        <f aca="false">Q352/R352-1</f>
        <v>-0.00508900000000001</v>
      </c>
      <c r="T352" s="31" t="n">
        <f aca="false">DATE(YEAR(F352),MONTH(F352),1)</f>
        <v>43556</v>
      </c>
    </row>
    <row r="353" customFormat="false" ht="15" hidden="false" customHeight="true" outlineLevel="0" collapsed="false">
      <c r="A353" s="4" t="n">
        <v>352</v>
      </c>
      <c r="B353" s="4" t="s">
        <v>27</v>
      </c>
      <c r="C353" s="4" t="s">
        <v>54</v>
      </c>
      <c r="D353" s="23" t="n">
        <v>43584.9166666667</v>
      </c>
      <c r="E353" s="23" t="n">
        <v>43585.34375</v>
      </c>
      <c r="F353" s="23" t="n">
        <v>43585.4479166667</v>
      </c>
      <c r="G353" s="4" t="n">
        <f aca="false">YEAR(E353)</f>
        <v>2019</v>
      </c>
      <c r="H353" s="4" t="str">
        <f aca="false">IF(E353&lt;DATE(2015,1,1),"2005–2014",IF(E353&lt;DATE(2022,3,5),"2015 – Mar 2022","Mar 2022 – Oct 2026"))</f>
        <v>2015 – Mar 2022</v>
      </c>
      <c r="I353" s="24" t="n">
        <v>144.414</v>
      </c>
      <c r="J353" s="24" t="n">
        <v>144.811</v>
      </c>
      <c r="K353" s="24" t="n">
        <v>143.008</v>
      </c>
      <c r="L353" s="25" t="n">
        <v>3.539</v>
      </c>
      <c r="M353" s="26" t="n">
        <v>39.72</v>
      </c>
      <c r="N353" s="4" t="s">
        <v>34</v>
      </c>
      <c r="O353" s="27" t="n">
        <v>-1.0189</v>
      </c>
      <c r="P353" s="28" t="n">
        <f aca="false">Summary!$C$6*O353</f>
        <v>-0.0050945</v>
      </c>
      <c r="Q353" s="29" t="n">
        <f aca="false">Q352*(1+P353)</f>
        <v>12842.4411916836</v>
      </c>
      <c r="R353" s="29" t="n">
        <f aca="false">MAX(R352,Q353)</f>
        <v>12974.2278725531</v>
      </c>
      <c r="S353" s="30" t="n">
        <f aca="false">Q353/R353-1</f>
        <v>-0.0101575740894999</v>
      </c>
      <c r="T353" s="31" t="n">
        <f aca="false">DATE(YEAR(F353),MONTH(F353),1)</f>
        <v>43556</v>
      </c>
    </row>
    <row r="354" customFormat="false" ht="15" hidden="false" customHeight="true" outlineLevel="0" collapsed="false">
      <c r="A354" s="4" t="n">
        <v>353</v>
      </c>
      <c r="B354" s="4" t="s">
        <v>27</v>
      </c>
      <c r="C354" s="4" t="s">
        <v>54</v>
      </c>
      <c r="D354" s="23" t="n">
        <v>43599.9166666667</v>
      </c>
      <c r="E354" s="23" t="n">
        <v>43600.2604166667</v>
      </c>
      <c r="F354" s="23" t="n">
        <v>43606.6145833333</v>
      </c>
      <c r="G354" s="4" t="n">
        <f aca="false">YEAR(E354)</f>
        <v>2019</v>
      </c>
      <c r="H354" s="4" t="str">
        <f aca="false">IF(E354&lt;DATE(2015,1,1),"2005–2014",IF(E354&lt;DATE(2022,3,5),"2015 – Mar 2022","Mar 2022 – Oct 2026"))</f>
        <v>2015 – Mar 2022</v>
      </c>
      <c r="I354" s="24" t="n">
        <v>141.536</v>
      </c>
      <c r="J354" s="24" t="n">
        <v>141.978</v>
      </c>
      <c r="K354" s="24" t="n">
        <v>138.301</v>
      </c>
      <c r="L354" s="25" t="n">
        <v>7.311</v>
      </c>
      <c r="M354" s="26" t="n">
        <v>44.248</v>
      </c>
      <c r="N354" s="4" t="s">
        <v>35</v>
      </c>
      <c r="O354" s="27" t="n">
        <v>0.0508</v>
      </c>
      <c r="P354" s="28" t="n">
        <f aca="false">Summary!$C$6*O354</f>
        <v>0.000254</v>
      </c>
      <c r="Q354" s="29" t="n">
        <f aca="false">Q353*(1+P354)</f>
        <v>12845.7031717462</v>
      </c>
      <c r="R354" s="29" t="n">
        <f aca="false">MAX(R353,Q354)</f>
        <v>12974.2278725531</v>
      </c>
      <c r="S354" s="30" t="n">
        <f aca="false">Q354/R354-1</f>
        <v>-0.00990615411331863</v>
      </c>
      <c r="T354" s="31" t="n">
        <f aca="false">DATE(YEAR(F354),MONTH(F354),1)</f>
        <v>43586</v>
      </c>
    </row>
    <row r="355" customFormat="false" ht="15" hidden="false" customHeight="true" outlineLevel="0" collapsed="false">
      <c r="A355" s="4" t="n">
        <v>354</v>
      </c>
      <c r="B355" s="4" t="s">
        <v>28</v>
      </c>
      <c r="C355" s="4" t="s">
        <v>53</v>
      </c>
      <c r="D355" s="23" t="n">
        <v>43749.9166666667</v>
      </c>
      <c r="E355" s="23" t="n">
        <v>43752.5104166667</v>
      </c>
      <c r="F355" s="23" t="n">
        <v>43753.59375</v>
      </c>
      <c r="G355" s="4" t="n">
        <f aca="false">YEAR(E355)</f>
        <v>2019</v>
      </c>
      <c r="H355" s="4" t="str">
        <f aca="false">IF(E355&lt;DATE(2015,1,1),"2005–2014",IF(E355&lt;DATE(2022,3,5),"2015 – Mar 2022","Mar 2022 – Oct 2026"))</f>
        <v>2015 – Mar 2022</v>
      </c>
      <c r="I355" s="24" t="n">
        <v>135.562</v>
      </c>
      <c r="J355" s="24" t="n">
        <v>134.913</v>
      </c>
      <c r="K355" s="24" t="n">
        <v>138.048</v>
      </c>
      <c r="L355" s="25" t="n">
        <v>3.831</v>
      </c>
      <c r="M355" s="26" t="n">
        <v>64.893</v>
      </c>
      <c r="N355" s="4" t="s">
        <v>33</v>
      </c>
      <c r="O355" s="27" t="n">
        <v>3.8306</v>
      </c>
      <c r="P355" s="28" t="n">
        <f aca="false">Summary!$C$6*O355</f>
        <v>0.019153</v>
      </c>
      <c r="Q355" s="29" t="n">
        <f aca="false">Q354*(1+P355)</f>
        <v>13091.7369245947</v>
      </c>
      <c r="R355" s="29" t="n">
        <f aca="false">MAX(R354,Q355)</f>
        <v>13091.7369245947</v>
      </c>
      <c r="S355" s="30" t="n">
        <f aca="false">Q355/R355-1</f>
        <v>0</v>
      </c>
      <c r="T355" s="31" t="n">
        <f aca="false">DATE(YEAR(F355),MONTH(F355),1)</f>
        <v>43739</v>
      </c>
    </row>
    <row r="356" customFormat="false" ht="15" hidden="false" customHeight="true" outlineLevel="0" collapsed="false">
      <c r="A356" s="4" t="n">
        <v>355</v>
      </c>
      <c r="B356" s="4" t="s">
        <v>27</v>
      </c>
      <c r="C356" s="4" t="s">
        <v>54</v>
      </c>
      <c r="D356" s="23" t="n">
        <v>43787.9166666667</v>
      </c>
      <c r="E356" s="23" t="n">
        <v>43788.09375</v>
      </c>
      <c r="F356" s="23" t="n">
        <v>43790.4270833333</v>
      </c>
      <c r="G356" s="4" t="n">
        <f aca="false">YEAR(E356)</f>
        <v>2019</v>
      </c>
      <c r="H356" s="4" t="str">
        <f aca="false">IF(E356&lt;DATE(2015,1,1),"2005–2014",IF(E356&lt;DATE(2022,3,5),"2015 – Mar 2022","Mar 2022 – Oct 2026"))</f>
        <v>2015 – Mar 2022</v>
      </c>
      <c r="I356" s="24" t="n">
        <v>140.699</v>
      </c>
      <c r="J356" s="24" t="n">
        <v>141.147</v>
      </c>
      <c r="K356" s="24" t="n">
        <v>138.302</v>
      </c>
      <c r="L356" s="25" t="n">
        <v>5.354</v>
      </c>
      <c r="M356" s="26" t="n">
        <v>44.775</v>
      </c>
      <c r="N356" s="4" t="s">
        <v>35</v>
      </c>
      <c r="O356" s="27" t="n">
        <v>0.0503</v>
      </c>
      <c r="P356" s="28" t="n">
        <f aca="false">Summary!$C$6*O356</f>
        <v>0.0002515</v>
      </c>
      <c r="Q356" s="29" t="n">
        <f aca="false">Q355*(1+P356)</f>
        <v>13095.0294964312</v>
      </c>
      <c r="R356" s="29" t="n">
        <f aca="false">MAX(R355,Q356)</f>
        <v>13095.0294964312</v>
      </c>
      <c r="S356" s="30" t="n">
        <f aca="false">Q356/R356-1</f>
        <v>0</v>
      </c>
      <c r="T356" s="31" t="n">
        <f aca="false">DATE(YEAR(F356),MONTH(F356),1)</f>
        <v>43770</v>
      </c>
    </row>
    <row r="357" customFormat="false" ht="15" hidden="false" customHeight="true" outlineLevel="0" collapsed="false">
      <c r="A357" s="4" t="n">
        <v>356</v>
      </c>
      <c r="B357" s="4" t="s">
        <v>27</v>
      </c>
      <c r="C357" s="4" t="s">
        <v>54</v>
      </c>
      <c r="D357" s="23" t="n">
        <v>43790.9166666667</v>
      </c>
      <c r="E357" s="23" t="n">
        <v>43791.3333333333</v>
      </c>
      <c r="F357" s="23" t="n">
        <v>43794.375</v>
      </c>
      <c r="G357" s="4" t="n">
        <f aca="false">YEAR(E357)</f>
        <v>2019</v>
      </c>
      <c r="H357" s="4" t="str">
        <f aca="false">IF(E357&lt;DATE(2015,1,1),"2005–2014",IF(E357&lt;DATE(2022,3,5),"2015 – Mar 2022","Mar 2022 – Oct 2026"))</f>
        <v>2015 – Mar 2022</v>
      </c>
      <c r="I357" s="24" t="n">
        <v>140.294</v>
      </c>
      <c r="J357" s="24" t="n">
        <v>140.723</v>
      </c>
      <c r="K357" s="24" t="n">
        <v>138.299</v>
      </c>
      <c r="L357" s="25" t="n">
        <v>4.649</v>
      </c>
      <c r="M357" s="26" t="n">
        <v>42.909</v>
      </c>
      <c r="N357" s="4" t="s">
        <v>35</v>
      </c>
      <c r="O357" s="27" t="n">
        <v>0.0524</v>
      </c>
      <c r="P357" s="28" t="n">
        <f aca="false">Summary!$C$6*O357</f>
        <v>0.000262</v>
      </c>
      <c r="Q357" s="29" t="n">
        <f aca="false">Q356*(1+P357)</f>
        <v>13098.4603941593</v>
      </c>
      <c r="R357" s="29" t="n">
        <f aca="false">MAX(R356,Q357)</f>
        <v>13098.4603941593</v>
      </c>
      <c r="S357" s="30" t="n">
        <f aca="false">Q357/R357-1</f>
        <v>0</v>
      </c>
      <c r="T357" s="31" t="n">
        <f aca="false">DATE(YEAR(F357),MONTH(F357),1)</f>
        <v>43770</v>
      </c>
    </row>
    <row r="358" customFormat="false" ht="15" hidden="false" customHeight="true" outlineLevel="0" collapsed="false">
      <c r="A358" s="4" t="n">
        <v>357</v>
      </c>
      <c r="B358" s="4" t="s">
        <v>28</v>
      </c>
      <c r="C358" s="4" t="s">
        <v>54</v>
      </c>
      <c r="D358" s="23" t="n">
        <v>43801.9166666667</v>
      </c>
      <c r="E358" s="23" t="n">
        <v>43802.3333333333</v>
      </c>
      <c r="F358" s="23" t="n">
        <v>43803.3645833333</v>
      </c>
      <c r="G358" s="4" t="n">
        <f aca="false">YEAR(E358)</f>
        <v>2019</v>
      </c>
      <c r="H358" s="4" t="str">
        <f aca="false">IF(E358&lt;DATE(2015,1,1),"2005–2014",IF(E358&lt;DATE(2022,3,5),"2015 – Mar 2022","Mar 2022 – Oct 2026"))</f>
        <v>2015 – Mar 2022</v>
      </c>
      <c r="I358" s="24" t="n">
        <v>141.573</v>
      </c>
      <c r="J358" s="24" t="n">
        <v>141.987</v>
      </c>
      <c r="K358" s="24" t="n">
        <v>139.677</v>
      </c>
      <c r="L358" s="25" t="n">
        <v>4.573</v>
      </c>
      <c r="M358" s="26" t="n">
        <v>41.461</v>
      </c>
      <c r="N358" s="4" t="s">
        <v>35</v>
      </c>
      <c r="O358" s="27" t="n">
        <v>0.0543</v>
      </c>
      <c r="P358" s="28" t="n">
        <f aca="false">Summary!$C$6*O358</f>
        <v>0.0002715</v>
      </c>
      <c r="Q358" s="29" t="n">
        <f aca="false">Q357*(1+P358)</f>
        <v>13102.0166261563</v>
      </c>
      <c r="R358" s="29" t="n">
        <f aca="false">MAX(R357,Q358)</f>
        <v>13102.0166261563</v>
      </c>
      <c r="S358" s="30" t="n">
        <f aca="false">Q358/R358-1</f>
        <v>0</v>
      </c>
      <c r="T358" s="31" t="n">
        <f aca="false">DATE(YEAR(F358),MONTH(F358),1)</f>
        <v>43800</v>
      </c>
    </row>
    <row r="359" customFormat="false" ht="15" hidden="false" customHeight="true" outlineLevel="0" collapsed="false">
      <c r="A359" s="4" t="n">
        <v>358</v>
      </c>
      <c r="B359" s="4" t="s">
        <v>28</v>
      </c>
      <c r="C359" s="4" t="s">
        <v>53</v>
      </c>
      <c r="D359" s="23" t="n">
        <v>43852.9166666667</v>
      </c>
      <c r="E359" s="23" t="n">
        <v>43853.15625</v>
      </c>
      <c r="F359" s="23" t="n">
        <v>43853.59375</v>
      </c>
      <c r="G359" s="4" t="n">
        <f aca="false">YEAR(E359)</f>
        <v>2020</v>
      </c>
      <c r="H359" s="4" t="str">
        <f aca="false">IF(E359&lt;DATE(2015,1,1),"2005–2014",IF(E359&lt;DATE(2022,3,5),"2015 – Mar 2022","Mar 2022 – Oct 2026"))</f>
        <v>2015 – Mar 2022</v>
      </c>
      <c r="I359" s="24" t="n">
        <v>143.97</v>
      </c>
      <c r="J359" s="24" t="n">
        <v>143.485</v>
      </c>
      <c r="K359" s="24" t="n">
        <v>146.021</v>
      </c>
      <c r="L359" s="25" t="n">
        <v>4.232</v>
      </c>
      <c r="M359" s="26" t="n">
        <v>48.463</v>
      </c>
      <c r="N359" s="4" t="s">
        <v>34</v>
      </c>
      <c r="O359" s="27" t="n">
        <v>-1.0155</v>
      </c>
      <c r="P359" s="28" t="n">
        <f aca="false">Summary!$C$6*O359</f>
        <v>-0.0050775</v>
      </c>
      <c r="Q359" s="29" t="n">
        <f aca="false">Q358*(1+P359)</f>
        <v>13035.491136737</v>
      </c>
      <c r="R359" s="29" t="n">
        <f aca="false">MAX(R358,Q359)</f>
        <v>13102.0166261563</v>
      </c>
      <c r="S359" s="30" t="n">
        <f aca="false">Q359/R359-1</f>
        <v>-0.00507749999999996</v>
      </c>
      <c r="T359" s="31" t="n">
        <f aca="false">DATE(YEAR(F359),MONTH(F359),1)</f>
        <v>43831</v>
      </c>
    </row>
    <row r="360" customFormat="false" ht="15" hidden="false" customHeight="true" outlineLevel="0" collapsed="false">
      <c r="A360" s="4" t="n">
        <v>359</v>
      </c>
      <c r="B360" s="4" t="s">
        <v>28</v>
      </c>
      <c r="C360" s="4" t="s">
        <v>54</v>
      </c>
      <c r="D360" s="23" t="n">
        <v>43853.9166666667</v>
      </c>
      <c r="E360" s="23" t="n">
        <v>43854.3958333333</v>
      </c>
      <c r="F360" s="23" t="n">
        <v>43858.375</v>
      </c>
      <c r="G360" s="4" t="n">
        <f aca="false">YEAR(E360)</f>
        <v>2020</v>
      </c>
      <c r="H360" s="4" t="str">
        <f aca="false">IF(E360&lt;DATE(2015,1,1),"2005–2014",IF(E360&lt;DATE(2022,3,5),"2015 – Mar 2022","Mar 2022 – Oct 2026"))</f>
        <v>2015 – Mar 2022</v>
      </c>
      <c r="I360" s="24" t="n">
        <v>144.29</v>
      </c>
      <c r="J360" s="24" t="n">
        <v>144.776</v>
      </c>
      <c r="K360" s="24" t="n">
        <v>141.527</v>
      </c>
      <c r="L360" s="25" t="n">
        <v>5.691</v>
      </c>
      <c r="M360" s="26" t="n">
        <v>48.551</v>
      </c>
      <c r="N360" s="4" t="s">
        <v>33</v>
      </c>
      <c r="O360" s="27" t="n">
        <v>5.6906</v>
      </c>
      <c r="P360" s="28" t="n">
        <f aca="false">Summary!$C$6*O360</f>
        <v>0.028453</v>
      </c>
      <c r="Q360" s="29" t="n">
        <f aca="false">Q359*(1+P360)</f>
        <v>13406.3899660506</v>
      </c>
      <c r="R360" s="29" t="n">
        <f aca="false">MAX(R359,Q360)</f>
        <v>13406.3899660506</v>
      </c>
      <c r="S360" s="30" t="n">
        <f aca="false">Q360/R360-1</f>
        <v>0</v>
      </c>
      <c r="T360" s="31" t="n">
        <f aca="false">DATE(YEAR(F360),MONTH(F360),1)</f>
        <v>43831</v>
      </c>
    </row>
    <row r="361" customFormat="false" ht="15" hidden="false" customHeight="true" outlineLevel="0" collapsed="false">
      <c r="A361" s="4" t="n">
        <v>360</v>
      </c>
      <c r="B361" s="4" t="s">
        <v>27</v>
      </c>
      <c r="C361" s="4" t="s">
        <v>54</v>
      </c>
      <c r="D361" s="23" t="n">
        <v>43879.9166666667</v>
      </c>
      <c r="E361" s="23" t="n">
        <v>43880.2916666667</v>
      </c>
      <c r="F361" s="23" t="n">
        <v>43880.3958333333</v>
      </c>
      <c r="G361" s="4" t="n">
        <f aca="false">YEAR(E361)</f>
        <v>2020</v>
      </c>
      <c r="H361" s="4" t="str">
        <f aca="false">IF(E361&lt;DATE(2015,1,1),"2005–2014",IF(E361&lt;DATE(2022,3,5),"2015 – Mar 2022","Mar 2022 – Oct 2026"))</f>
        <v>2015 – Mar 2022</v>
      </c>
      <c r="I361" s="24" t="n">
        <v>143.008</v>
      </c>
      <c r="J361" s="24" t="n">
        <v>143.434</v>
      </c>
      <c r="K361" s="24" t="n">
        <v>141.52</v>
      </c>
      <c r="L361" s="25" t="n">
        <v>3.495</v>
      </c>
      <c r="M361" s="26" t="n">
        <v>42.579</v>
      </c>
      <c r="N361" s="4" t="s">
        <v>34</v>
      </c>
      <c r="O361" s="27" t="n">
        <v>-1.0176</v>
      </c>
      <c r="P361" s="28" t="n">
        <f aca="false">Summary!$C$6*O361</f>
        <v>-0.005088</v>
      </c>
      <c r="Q361" s="29" t="n">
        <f aca="false">Q360*(1+P361)</f>
        <v>13338.1782539033</v>
      </c>
      <c r="R361" s="29" t="n">
        <f aca="false">MAX(R360,Q361)</f>
        <v>13406.3899660506</v>
      </c>
      <c r="S361" s="30" t="n">
        <f aca="false">Q361/R361-1</f>
        <v>-0.00508799999999998</v>
      </c>
      <c r="T361" s="31" t="n">
        <f aca="false">DATE(YEAR(F361),MONTH(F361),1)</f>
        <v>43862</v>
      </c>
    </row>
    <row r="362" customFormat="false" ht="15" hidden="false" customHeight="true" outlineLevel="0" collapsed="false">
      <c r="A362" s="4" t="n">
        <v>361</v>
      </c>
      <c r="B362" s="4" t="s">
        <v>28</v>
      </c>
      <c r="C362" s="4" t="s">
        <v>53</v>
      </c>
      <c r="D362" s="23" t="n">
        <v>43881.9166666667</v>
      </c>
      <c r="E362" s="23" t="n">
        <v>43882.3125</v>
      </c>
      <c r="F362" s="23" t="n">
        <v>43884.9166666667</v>
      </c>
      <c r="G362" s="4" t="n">
        <f aca="false">YEAR(E362)</f>
        <v>2020</v>
      </c>
      <c r="H362" s="4" t="str">
        <f aca="false">IF(E362&lt;DATE(2015,1,1),"2005–2014",IF(E362&lt;DATE(2022,3,5),"2015 – Mar 2022","Mar 2022 – Oct 2026"))</f>
        <v>2015 – Mar 2022</v>
      </c>
      <c r="I362" s="24" t="n">
        <v>144.058</v>
      </c>
      <c r="J362" s="24" t="n">
        <v>143.625</v>
      </c>
      <c r="K362" s="24" t="n">
        <v>146.027</v>
      </c>
      <c r="L362" s="25" t="n">
        <v>4.54</v>
      </c>
      <c r="M362" s="26" t="n">
        <v>43.366</v>
      </c>
      <c r="N362" s="4" t="s">
        <v>35</v>
      </c>
      <c r="O362" s="27" t="n">
        <v>-0.0802</v>
      </c>
      <c r="P362" s="28" t="n">
        <f aca="false">Summary!$C$6*O362</f>
        <v>-0.000401</v>
      </c>
      <c r="Q362" s="29" t="n">
        <f aca="false">Q361*(1+P362)</f>
        <v>13332.8296444235</v>
      </c>
      <c r="R362" s="29" t="n">
        <f aca="false">MAX(R361,Q362)</f>
        <v>13406.3899660506</v>
      </c>
      <c r="S362" s="30" t="n">
        <f aca="false">Q362/R362-1</f>
        <v>-0.00548695971200008</v>
      </c>
      <c r="T362" s="31" t="n">
        <f aca="false">DATE(YEAR(F362),MONTH(F362),1)</f>
        <v>43862</v>
      </c>
    </row>
    <row r="363" customFormat="false" ht="15" hidden="false" customHeight="true" outlineLevel="0" collapsed="false">
      <c r="A363" s="4" t="n">
        <v>362</v>
      </c>
      <c r="B363" s="4" t="s">
        <v>28</v>
      </c>
      <c r="C363" s="4" t="s">
        <v>54</v>
      </c>
      <c r="D363" s="23" t="n">
        <v>43899.9166666667</v>
      </c>
      <c r="E363" s="23" t="n">
        <v>43900.1666666667</v>
      </c>
      <c r="F363" s="23" t="n">
        <v>43900.1770833333</v>
      </c>
      <c r="G363" s="4" t="n">
        <f aca="false">YEAR(E363)</f>
        <v>2020</v>
      </c>
      <c r="H363" s="4" t="str">
        <f aca="false">IF(E363&lt;DATE(2015,1,1),"2005–2014",IF(E363&lt;DATE(2022,3,5),"2015 – Mar 2022","Mar 2022 – Oct 2026"))</f>
        <v>2015 – Mar 2022</v>
      </c>
      <c r="I363" s="24" t="n">
        <v>135.557</v>
      </c>
      <c r="J363" s="24" t="n">
        <v>136.231</v>
      </c>
      <c r="K363" s="24" t="n">
        <v>130.936</v>
      </c>
      <c r="L363" s="25" t="n">
        <v>6.86</v>
      </c>
      <c r="M363" s="26" t="n">
        <v>67.368</v>
      </c>
      <c r="N363" s="4" t="s">
        <v>34</v>
      </c>
      <c r="O363" s="27" t="n">
        <v>-1.0111</v>
      </c>
      <c r="P363" s="28" t="n">
        <f aca="false">Summary!$C$6*O363</f>
        <v>-0.0050555</v>
      </c>
      <c r="Q363" s="29" t="n">
        <f aca="false">Q362*(1+P363)</f>
        <v>13265.4255241561</v>
      </c>
      <c r="R363" s="29" t="n">
        <f aca="false">MAX(R362,Q363)</f>
        <v>13406.3899660506</v>
      </c>
      <c r="S363" s="30" t="n">
        <f aca="false">Q363/R363-1</f>
        <v>-0.010514720387176</v>
      </c>
      <c r="T363" s="31" t="n">
        <f aca="false">DATE(YEAR(F363),MONTH(F363),1)</f>
        <v>43891</v>
      </c>
    </row>
    <row r="364" customFormat="false" ht="15" hidden="false" customHeight="true" outlineLevel="0" collapsed="false">
      <c r="A364" s="4" t="n">
        <v>363</v>
      </c>
      <c r="B364" s="4" t="s">
        <v>27</v>
      </c>
      <c r="C364" s="4" t="s">
        <v>54</v>
      </c>
      <c r="D364" s="23" t="n">
        <v>43900.9166666667</v>
      </c>
      <c r="E364" s="23" t="n">
        <v>43901.0625</v>
      </c>
      <c r="F364" s="23" t="n">
        <v>43901.3229166667</v>
      </c>
      <c r="G364" s="4" t="n">
        <f aca="false">YEAR(E364)</f>
        <v>2020</v>
      </c>
      <c r="H364" s="4" t="str">
        <f aca="false">IF(E364&lt;DATE(2015,1,1),"2005–2014",IF(E364&lt;DATE(2022,3,5),"2015 – Mar 2022","Mar 2022 – Oct 2026"))</f>
        <v>2015 – Mar 2022</v>
      </c>
      <c r="I364" s="24" t="n">
        <v>135.328</v>
      </c>
      <c r="J364" s="24" t="n">
        <v>136.056</v>
      </c>
      <c r="K364" s="24" t="n">
        <v>130.943</v>
      </c>
      <c r="L364" s="25" t="n">
        <v>6.026</v>
      </c>
      <c r="M364" s="26" t="n">
        <v>72.768</v>
      </c>
      <c r="N364" s="4" t="s">
        <v>35</v>
      </c>
      <c r="O364" s="27" t="n">
        <v>0.0309</v>
      </c>
      <c r="P364" s="28" t="n">
        <f aca="false">Summary!$C$6*O364</f>
        <v>0.0001545</v>
      </c>
      <c r="Q364" s="29" t="n">
        <f aca="false">Q363*(1+P364)</f>
        <v>13267.4750323996</v>
      </c>
      <c r="R364" s="29" t="n">
        <f aca="false">MAX(R363,Q364)</f>
        <v>13406.3899660506</v>
      </c>
      <c r="S364" s="30" t="n">
        <f aca="false">Q364/R364-1</f>
        <v>-0.0103618449114758</v>
      </c>
      <c r="T364" s="31" t="n">
        <f aca="false">DATE(YEAR(F364),MONTH(F364),1)</f>
        <v>43891</v>
      </c>
    </row>
    <row r="365" customFormat="false" ht="15" hidden="false" customHeight="true" outlineLevel="0" collapsed="false">
      <c r="A365" s="4" t="n">
        <v>364</v>
      </c>
      <c r="B365" s="4" t="s">
        <v>28</v>
      </c>
      <c r="C365" s="4" t="s">
        <v>53</v>
      </c>
      <c r="D365" s="23" t="n">
        <v>43910.9166666667</v>
      </c>
      <c r="E365" s="23" t="n">
        <v>43912.96875</v>
      </c>
      <c r="F365" s="23" t="n">
        <v>43917.6770833333</v>
      </c>
      <c r="G365" s="4" t="n">
        <f aca="false">YEAR(E365)</f>
        <v>2020</v>
      </c>
      <c r="H365" s="4" t="str">
        <f aca="false">IF(E365&lt;DATE(2015,1,1),"2005–2014",IF(E365&lt;DATE(2022,3,5),"2015 – Mar 2022","Mar 2022 – Oct 2026"))</f>
        <v>2015 – Mar 2022</v>
      </c>
      <c r="I365" s="24" t="n">
        <v>128.029</v>
      </c>
      <c r="J365" s="24" t="n">
        <v>126.855</v>
      </c>
      <c r="K365" s="24" t="n">
        <v>134.052</v>
      </c>
      <c r="L365" s="25" t="n">
        <v>5.129</v>
      </c>
      <c r="M365" s="26" t="n">
        <v>117.431</v>
      </c>
      <c r="N365" s="4" t="s">
        <v>33</v>
      </c>
      <c r="O365" s="27" t="n">
        <v>5.1289</v>
      </c>
      <c r="P365" s="28" t="n">
        <f aca="false">Summary!$C$6*O365</f>
        <v>0.0256445</v>
      </c>
      <c r="Q365" s="29" t="n">
        <f aca="false">Q364*(1+P365)</f>
        <v>13607.712795868</v>
      </c>
      <c r="R365" s="29" t="n">
        <f aca="false">MAX(R364,Q365)</f>
        <v>13607.712795868</v>
      </c>
      <c r="S365" s="30" t="n">
        <f aca="false">Q365/R365-1</f>
        <v>0</v>
      </c>
      <c r="T365" s="31" t="n">
        <f aca="false">DATE(YEAR(F365),MONTH(F365),1)</f>
        <v>43891</v>
      </c>
    </row>
    <row r="366" customFormat="false" ht="15" hidden="false" customHeight="true" outlineLevel="0" collapsed="false">
      <c r="A366" s="4" t="n">
        <v>365</v>
      </c>
      <c r="B366" s="4" t="s">
        <v>27</v>
      </c>
      <c r="C366" s="4" t="s">
        <v>54</v>
      </c>
      <c r="D366" s="23" t="n">
        <v>43930.9166666667</v>
      </c>
      <c r="E366" s="23" t="n">
        <v>43935.1770833333</v>
      </c>
      <c r="F366" s="23" t="n">
        <v>43951.8020833333</v>
      </c>
      <c r="G366" s="4" t="n">
        <f aca="false">YEAR(E366)</f>
        <v>2020</v>
      </c>
      <c r="H366" s="4" t="str">
        <f aca="false">IF(E366&lt;DATE(2015,1,1),"2005–2014",IF(E366&lt;DATE(2022,3,5),"2015 – Mar 2022","Mar 2022 – Oct 2026"))</f>
        <v>2015 – Mar 2022</v>
      </c>
      <c r="I366" s="24" t="n">
        <v>135.321</v>
      </c>
      <c r="J366" s="24" t="n">
        <v>136.238</v>
      </c>
      <c r="K366" s="24" t="n">
        <v>130.966</v>
      </c>
      <c r="L366" s="25" t="n">
        <v>4.749</v>
      </c>
      <c r="M366" s="26" t="n">
        <v>91.715</v>
      </c>
      <c r="N366" s="4" t="s">
        <v>35</v>
      </c>
      <c r="O366" s="27" t="n">
        <v>0.0245</v>
      </c>
      <c r="P366" s="28" t="n">
        <f aca="false">Summary!$C$6*O366</f>
        <v>0.0001225</v>
      </c>
      <c r="Q366" s="29" t="n">
        <f aca="false">Q365*(1+P366)</f>
        <v>13609.3797406855</v>
      </c>
      <c r="R366" s="29" t="n">
        <f aca="false">MAX(R365,Q366)</f>
        <v>13609.3797406855</v>
      </c>
      <c r="S366" s="30" t="n">
        <f aca="false">Q366/R366-1</f>
        <v>0</v>
      </c>
      <c r="T366" s="31" t="n">
        <f aca="false">DATE(YEAR(F366),MONTH(F366),1)</f>
        <v>43922</v>
      </c>
    </row>
    <row r="367" customFormat="false" ht="15" hidden="false" customHeight="true" outlineLevel="0" collapsed="false">
      <c r="A367" s="4" t="n">
        <v>366</v>
      </c>
      <c r="B367" s="4" t="s">
        <v>28</v>
      </c>
      <c r="C367" s="4" t="s">
        <v>54</v>
      </c>
      <c r="D367" s="23" t="n">
        <v>43978.9166666667</v>
      </c>
      <c r="E367" s="23" t="n">
        <v>43979.5520833333</v>
      </c>
      <c r="F367" s="23" t="n">
        <v>43980.4895833333</v>
      </c>
      <c r="G367" s="4" t="n">
        <f aca="false">YEAR(E367)</f>
        <v>2020</v>
      </c>
      <c r="H367" s="4" t="str">
        <f aca="false">IF(E367&lt;DATE(2015,1,1),"2005–2014",IF(E367&lt;DATE(2022,3,5),"2015 – Mar 2022","Mar 2022 – Oct 2026"))</f>
        <v>2015 – Mar 2022</v>
      </c>
      <c r="I367" s="24" t="n">
        <v>132.516</v>
      </c>
      <c r="J367" s="24" t="n">
        <v>133.078</v>
      </c>
      <c r="K367" s="24" t="n">
        <v>130.425</v>
      </c>
      <c r="L367" s="25" t="n">
        <v>3.718</v>
      </c>
      <c r="M367" s="26" t="n">
        <v>56.244</v>
      </c>
      <c r="N367" s="4" t="s">
        <v>35</v>
      </c>
      <c r="O367" s="27" t="n">
        <v>0.04</v>
      </c>
      <c r="P367" s="28" t="n">
        <f aca="false">Summary!$C$6*O367</f>
        <v>0.0002</v>
      </c>
      <c r="Q367" s="29" t="n">
        <f aca="false">Q366*(1+P367)</f>
        <v>13612.1016166336</v>
      </c>
      <c r="R367" s="29" t="n">
        <f aca="false">MAX(R366,Q367)</f>
        <v>13612.1016166336</v>
      </c>
      <c r="S367" s="30" t="n">
        <f aca="false">Q367/R367-1</f>
        <v>0</v>
      </c>
      <c r="T367" s="31" t="n">
        <f aca="false">DATE(YEAR(F367),MONTH(F367),1)</f>
        <v>43952</v>
      </c>
    </row>
    <row r="368" customFormat="false" ht="15" hidden="false" customHeight="true" outlineLevel="0" collapsed="false">
      <c r="A368" s="4" t="n">
        <v>367</v>
      </c>
      <c r="B368" s="4" t="s">
        <v>28</v>
      </c>
      <c r="C368" s="4" t="s">
        <v>54</v>
      </c>
      <c r="D368" s="23" t="n">
        <v>43993.9166666667</v>
      </c>
      <c r="E368" s="23" t="n">
        <v>43994.3645833333</v>
      </c>
      <c r="F368" s="23" t="n">
        <v>43997.9166666667</v>
      </c>
      <c r="G368" s="4" t="n">
        <f aca="false">YEAR(E368)</f>
        <v>2020</v>
      </c>
      <c r="H368" s="4" t="str">
        <f aca="false">IF(E368&lt;DATE(2015,1,1),"2005–2014",IF(E368&lt;DATE(2022,3,5),"2015 – Mar 2022","Mar 2022 – Oct 2026"))</f>
        <v>2015 – Mar 2022</v>
      </c>
      <c r="I368" s="24" t="n">
        <v>135.588</v>
      </c>
      <c r="J368" s="24" t="n">
        <v>136.247</v>
      </c>
      <c r="K368" s="24" t="n">
        <v>132.892</v>
      </c>
      <c r="L368" s="25" t="n">
        <v>4.087</v>
      </c>
      <c r="M368" s="26" t="n">
        <v>65.944</v>
      </c>
      <c r="N368" s="4" t="s">
        <v>35</v>
      </c>
      <c r="O368" s="27" t="n">
        <v>0.0341</v>
      </c>
      <c r="P368" s="28" t="n">
        <f aca="false">Summary!$C$6*O368</f>
        <v>0.0001705</v>
      </c>
      <c r="Q368" s="29" t="n">
        <f aca="false">Q367*(1+P368)</f>
        <v>13614.4224799592</v>
      </c>
      <c r="R368" s="29" t="n">
        <f aca="false">MAX(R367,Q368)</f>
        <v>13614.4224799592</v>
      </c>
      <c r="S368" s="30" t="n">
        <f aca="false">Q368/R368-1</f>
        <v>0</v>
      </c>
      <c r="T368" s="31" t="n">
        <f aca="false">DATE(YEAR(F368),MONTH(F368),1)</f>
        <v>43983</v>
      </c>
    </row>
    <row r="369" customFormat="false" ht="15" hidden="false" customHeight="true" outlineLevel="0" collapsed="false">
      <c r="A369" s="4" t="n">
        <v>368</v>
      </c>
      <c r="B369" s="4" t="s">
        <v>27</v>
      </c>
      <c r="C369" s="4" t="s">
        <v>54</v>
      </c>
      <c r="D369" s="23" t="n">
        <v>43998.9166666667</v>
      </c>
      <c r="E369" s="23" t="n">
        <v>43999.0208333333</v>
      </c>
      <c r="F369" s="23" t="n">
        <v>44000.5729166667</v>
      </c>
      <c r="G369" s="4" t="n">
        <f aca="false">YEAR(E369)</f>
        <v>2020</v>
      </c>
      <c r="H369" s="4" t="str">
        <f aca="false">IF(E369&lt;DATE(2015,1,1),"2005–2014",IF(E369&lt;DATE(2022,3,5),"2015 – Mar 2022","Mar 2022 – Oct 2026"))</f>
        <v>2015 – Mar 2022</v>
      </c>
      <c r="I369" s="24" t="n">
        <v>134.792</v>
      </c>
      <c r="J369" s="24" t="n">
        <v>135.479</v>
      </c>
      <c r="K369" s="24" t="n">
        <v>132.693</v>
      </c>
      <c r="L369" s="25" t="n">
        <v>3.054</v>
      </c>
      <c r="M369" s="26" t="n">
        <v>68.736</v>
      </c>
      <c r="N369" s="4" t="s">
        <v>33</v>
      </c>
      <c r="O369" s="27" t="n">
        <v>3.054</v>
      </c>
      <c r="P369" s="28" t="n">
        <f aca="false">Summary!$C$6*O369</f>
        <v>0.01527</v>
      </c>
      <c r="Q369" s="29" t="n">
        <f aca="false">Q368*(1+P369)</f>
        <v>13822.3147112282</v>
      </c>
      <c r="R369" s="29" t="n">
        <f aca="false">MAX(R368,Q369)</f>
        <v>13822.3147112282</v>
      </c>
      <c r="S369" s="30" t="n">
        <f aca="false">Q369/R369-1</f>
        <v>0</v>
      </c>
      <c r="T369" s="31" t="n">
        <f aca="false">DATE(YEAR(F369),MONTH(F369),1)</f>
        <v>43983</v>
      </c>
    </row>
    <row r="370" customFormat="false" ht="15" hidden="false" customHeight="true" outlineLevel="0" collapsed="false">
      <c r="A370" s="4" t="n">
        <v>369</v>
      </c>
      <c r="B370" s="4" t="s">
        <v>28</v>
      </c>
      <c r="C370" s="4" t="s">
        <v>54</v>
      </c>
      <c r="D370" s="23" t="n">
        <v>44001.9166666667</v>
      </c>
      <c r="E370" s="23" t="n">
        <v>44004.21875</v>
      </c>
      <c r="F370" s="23" t="n">
        <v>44004.6875</v>
      </c>
      <c r="G370" s="4" t="n">
        <f aca="false">YEAR(E370)</f>
        <v>2020</v>
      </c>
      <c r="H370" s="4" t="str">
        <f aca="false">IF(E370&lt;DATE(2015,1,1),"2005–2014",IF(E370&lt;DATE(2022,3,5),"2015 – Mar 2022","Mar 2022 – Oct 2026"))</f>
        <v>2015 – Mar 2022</v>
      </c>
      <c r="I370" s="24" t="n">
        <v>132.536</v>
      </c>
      <c r="J370" s="24" t="n">
        <v>133.212</v>
      </c>
      <c r="K370" s="24" t="n">
        <v>130.438</v>
      </c>
      <c r="L370" s="25" t="n">
        <v>3.104</v>
      </c>
      <c r="M370" s="26" t="n">
        <v>67.587</v>
      </c>
      <c r="N370" s="4" t="s">
        <v>34</v>
      </c>
      <c r="O370" s="27" t="n">
        <v>-1.0111</v>
      </c>
      <c r="P370" s="28" t="n">
        <f aca="false">Summary!$C$6*O370</f>
        <v>-0.0050555</v>
      </c>
      <c r="Q370" s="29" t="n">
        <f aca="false">Q369*(1+P370)</f>
        <v>13752.4359992056</v>
      </c>
      <c r="R370" s="29" t="n">
        <f aca="false">MAX(R369,Q370)</f>
        <v>13822.3147112282</v>
      </c>
      <c r="S370" s="30" t="n">
        <f aca="false">Q370/R370-1</f>
        <v>-0.00505549999999999</v>
      </c>
      <c r="T370" s="31" t="n">
        <f aca="false">DATE(YEAR(F370),MONTH(F370),1)</f>
        <v>43983</v>
      </c>
    </row>
    <row r="371" customFormat="false" ht="15" hidden="false" customHeight="true" outlineLevel="0" collapsed="false">
      <c r="A371" s="4" t="n">
        <v>370</v>
      </c>
      <c r="B371" s="4" t="s">
        <v>28</v>
      </c>
      <c r="C371" s="4" t="s">
        <v>53</v>
      </c>
      <c r="D371" s="23" t="n">
        <v>44004.9166666667</v>
      </c>
      <c r="E371" s="23" t="n">
        <v>44008.40625</v>
      </c>
      <c r="F371" s="23" t="n">
        <v>44019.4895833333</v>
      </c>
      <c r="G371" s="4" t="n">
        <f aca="false">YEAR(E371)</f>
        <v>2020</v>
      </c>
      <c r="H371" s="4" t="str">
        <f aca="false">IF(E371&lt;DATE(2015,1,1),"2005–2014",IF(E371&lt;DATE(2022,3,5),"2015 – Mar 2022","Mar 2022 – Oct 2026"))</f>
        <v>2015 – Mar 2022</v>
      </c>
      <c r="I371" s="24" t="n">
        <v>132.557</v>
      </c>
      <c r="J371" s="24" t="n">
        <v>131.881</v>
      </c>
      <c r="K371" s="24" t="n">
        <v>134.893</v>
      </c>
      <c r="L371" s="25" t="n">
        <v>3.456</v>
      </c>
      <c r="M371" s="26" t="n">
        <v>67.597</v>
      </c>
      <c r="N371" s="4" t="s">
        <v>33</v>
      </c>
      <c r="O371" s="27" t="n">
        <v>3.4556</v>
      </c>
      <c r="P371" s="28" t="n">
        <f aca="false">Summary!$C$6*O371</f>
        <v>0.017278</v>
      </c>
      <c r="Q371" s="29" t="n">
        <f aca="false">Q370*(1+P371)</f>
        <v>13990.0505883999</v>
      </c>
      <c r="R371" s="29" t="n">
        <f aca="false">MAX(R370,Q371)</f>
        <v>13990.0505883999</v>
      </c>
      <c r="S371" s="30" t="n">
        <f aca="false">Q371/R371-1</f>
        <v>0</v>
      </c>
      <c r="T371" s="31" t="n">
        <f aca="false">DATE(YEAR(F371),MONTH(F371),1)</f>
        <v>44013</v>
      </c>
    </row>
    <row r="372" customFormat="false" ht="15" hidden="false" customHeight="true" outlineLevel="0" collapsed="false">
      <c r="A372" s="4" t="n">
        <v>371</v>
      </c>
      <c r="B372" s="4" t="s">
        <v>27</v>
      </c>
      <c r="C372" s="4" t="s">
        <v>53</v>
      </c>
      <c r="D372" s="23" t="n">
        <v>44020.9166666667</v>
      </c>
      <c r="E372" s="23" t="n">
        <v>44021.59375</v>
      </c>
      <c r="F372" s="23" t="n">
        <v>44022.03125</v>
      </c>
      <c r="G372" s="4" t="n">
        <f aca="false">YEAR(E372)</f>
        <v>2020</v>
      </c>
      <c r="H372" s="4" t="str">
        <f aca="false">IF(E372&lt;DATE(2015,1,1),"2005–2014",IF(E372&lt;DATE(2022,3,5),"2015 – Mar 2022","Mar 2022 – Oct 2026"))</f>
        <v>2015 – Mar 2022</v>
      </c>
      <c r="I372" s="24" t="n">
        <v>135.394</v>
      </c>
      <c r="J372" s="24" t="n">
        <v>134.869</v>
      </c>
      <c r="K372" s="24" t="n">
        <v>138.964</v>
      </c>
      <c r="L372" s="25" t="n">
        <v>6.8</v>
      </c>
      <c r="M372" s="26" t="n">
        <v>52.503</v>
      </c>
      <c r="N372" s="4" t="s">
        <v>34</v>
      </c>
      <c r="O372" s="27" t="n">
        <v>-1.0143</v>
      </c>
      <c r="P372" s="28" t="n">
        <f aca="false">Summary!$C$6*O372</f>
        <v>-0.0050715</v>
      </c>
      <c r="Q372" s="29" t="n">
        <f aca="false">Q371*(1+P372)</f>
        <v>13919.1000468408</v>
      </c>
      <c r="R372" s="29" t="n">
        <f aca="false">MAX(R371,Q372)</f>
        <v>13990.0505883999</v>
      </c>
      <c r="S372" s="30" t="n">
        <f aca="false">Q372/R372-1</f>
        <v>-0.00507150000000001</v>
      </c>
      <c r="T372" s="31" t="n">
        <f aca="false">DATE(YEAR(F372),MONTH(F372),1)</f>
        <v>44013</v>
      </c>
    </row>
    <row r="373" customFormat="false" ht="15" hidden="false" customHeight="true" outlineLevel="0" collapsed="false">
      <c r="A373" s="4" t="n">
        <v>372</v>
      </c>
      <c r="B373" s="4" t="s">
        <v>27</v>
      </c>
      <c r="C373" s="4" t="s">
        <v>53</v>
      </c>
      <c r="D373" s="23" t="n">
        <v>44022.9166666667</v>
      </c>
      <c r="E373" s="23" t="n">
        <v>44025.0520833333</v>
      </c>
      <c r="F373" s="23" t="n">
        <v>44025.84375</v>
      </c>
      <c r="G373" s="4" t="n">
        <f aca="false">YEAR(E373)</f>
        <v>2020</v>
      </c>
      <c r="H373" s="4" t="str">
        <f aca="false">IF(E373&lt;DATE(2015,1,1),"2005–2014",IF(E373&lt;DATE(2022,3,5),"2015 – Mar 2022","Mar 2022 – Oct 2026"))</f>
        <v>2015 – Mar 2022</v>
      </c>
      <c r="I373" s="24" t="n">
        <v>135.094</v>
      </c>
      <c r="J373" s="24" t="n">
        <v>134.591</v>
      </c>
      <c r="K373" s="24" t="n">
        <v>138.967</v>
      </c>
      <c r="L373" s="25" t="n">
        <v>7.698</v>
      </c>
      <c r="M373" s="26" t="n">
        <v>50.304</v>
      </c>
      <c r="N373" s="4" t="s">
        <v>34</v>
      </c>
      <c r="O373" s="27" t="n">
        <v>-1.0149</v>
      </c>
      <c r="P373" s="28" t="n">
        <f aca="false">Summary!$C$6*O373</f>
        <v>-0.0050745</v>
      </c>
      <c r="Q373" s="29" t="n">
        <f aca="false">Q372*(1+P373)</f>
        <v>13848.4675736531</v>
      </c>
      <c r="R373" s="29" t="n">
        <f aca="false">MAX(R372,Q373)</f>
        <v>13990.0505883999</v>
      </c>
      <c r="S373" s="30" t="n">
        <f aca="false">Q373/R373-1</f>
        <v>-0.01012026467325</v>
      </c>
      <c r="T373" s="31" t="n">
        <f aca="false">DATE(YEAR(F373),MONTH(F373),1)</f>
        <v>44013</v>
      </c>
    </row>
    <row r="374" customFormat="false" ht="15" hidden="false" customHeight="true" outlineLevel="0" collapsed="false">
      <c r="A374" s="4" t="n">
        <v>373</v>
      </c>
      <c r="B374" s="4" t="s">
        <v>27</v>
      </c>
      <c r="C374" s="4" t="s">
        <v>54</v>
      </c>
      <c r="D374" s="23" t="n">
        <v>44025.9166666667</v>
      </c>
      <c r="E374" s="23" t="n">
        <v>44026</v>
      </c>
      <c r="F374" s="23" t="n">
        <v>44026.8333333333</v>
      </c>
      <c r="G374" s="4" t="n">
        <f aca="false">YEAR(E374)</f>
        <v>2020</v>
      </c>
      <c r="H374" s="4" t="str">
        <f aca="false">IF(E374&lt;DATE(2015,1,1),"2005–2014",IF(E374&lt;DATE(2022,3,5),"2015 – Mar 2022","Mar 2022 – Oct 2026"))</f>
        <v>2015 – Mar 2022</v>
      </c>
      <c r="I374" s="24" t="n">
        <v>134.716</v>
      </c>
      <c r="J374" s="24" t="n">
        <v>135.209</v>
      </c>
      <c r="K374" s="24" t="n">
        <v>132.872</v>
      </c>
      <c r="L374" s="25" t="n">
        <v>3.739</v>
      </c>
      <c r="M374" s="26" t="n">
        <v>49.32</v>
      </c>
      <c r="N374" s="4" t="s">
        <v>35</v>
      </c>
      <c r="O374" s="27" t="n">
        <v>0.0456</v>
      </c>
      <c r="P374" s="28" t="n">
        <f aca="false">Summary!$C$6*O374</f>
        <v>0.000228</v>
      </c>
      <c r="Q374" s="29" t="n">
        <f aca="false">Q373*(1+P374)</f>
        <v>13851.6250242599</v>
      </c>
      <c r="R374" s="29" t="n">
        <f aca="false">MAX(R373,Q374)</f>
        <v>13990.0505883999</v>
      </c>
      <c r="S374" s="30" t="n">
        <f aca="false">Q374/R374-1</f>
        <v>-0.00989457209359557</v>
      </c>
      <c r="T374" s="31" t="n">
        <f aca="false">DATE(YEAR(F374),MONTH(F374),1)</f>
        <v>44013</v>
      </c>
    </row>
    <row r="375" customFormat="false" ht="15" hidden="false" customHeight="true" outlineLevel="0" collapsed="false">
      <c r="A375" s="4" t="n">
        <v>374</v>
      </c>
      <c r="B375" s="4" t="s">
        <v>27</v>
      </c>
      <c r="C375" s="4" t="s">
        <v>54</v>
      </c>
      <c r="D375" s="23" t="n">
        <v>44027.9166666667</v>
      </c>
      <c r="E375" s="23" t="n">
        <v>44028.0625</v>
      </c>
      <c r="F375" s="23" t="n">
        <v>44028.6354166667</v>
      </c>
      <c r="G375" s="4" t="n">
        <f aca="false">YEAR(E375)</f>
        <v>2020</v>
      </c>
      <c r="H375" s="4" t="str">
        <f aca="false">IF(E375&lt;DATE(2015,1,1),"2005–2014",IF(E375&lt;DATE(2022,3,5),"2015 – Mar 2022","Mar 2022 – Oct 2026"))</f>
        <v>2015 – Mar 2022</v>
      </c>
      <c r="I375" s="24" t="n">
        <v>134.559</v>
      </c>
      <c r="J375" s="24" t="n">
        <v>135.024</v>
      </c>
      <c r="K375" s="24" t="n">
        <v>132.869</v>
      </c>
      <c r="L375" s="25" t="n">
        <v>3.635</v>
      </c>
      <c r="M375" s="26" t="n">
        <v>46.506</v>
      </c>
      <c r="N375" s="4" t="s">
        <v>34</v>
      </c>
      <c r="O375" s="27" t="n">
        <v>-1.0161</v>
      </c>
      <c r="P375" s="28" t="n">
        <f aca="false">Summary!$C$6*O375</f>
        <v>-0.0050805</v>
      </c>
      <c r="Q375" s="29" t="n">
        <f aca="false">Q374*(1+P375)</f>
        <v>13781.2518433242</v>
      </c>
      <c r="R375" s="29" t="n">
        <f aca="false">MAX(R374,Q375)</f>
        <v>13990.0505883999</v>
      </c>
      <c r="S375" s="30" t="n">
        <f aca="false">Q375/R375-1</f>
        <v>-0.0149248027200741</v>
      </c>
      <c r="T375" s="31" t="n">
        <f aca="false">DATE(YEAR(F375),MONTH(F375),1)</f>
        <v>44013</v>
      </c>
    </row>
    <row r="376" customFormat="false" ht="15" hidden="false" customHeight="true" outlineLevel="0" collapsed="false">
      <c r="A376" s="4" t="n">
        <v>375</v>
      </c>
      <c r="B376" s="4" t="s">
        <v>27</v>
      </c>
      <c r="C376" s="4" t="s">
        <v>54</v>
      </c>
      <c r="D376" s="23" t="n">
        <v>44028.9166666667</v>
      </c>
      <c r="E376" s="23" t="n">
        <v>44029.0520833333</v>
      </c>
      <c r="F376" s="23" t="n">
        <v>44032.0208333333</v>
      </c>
      <c r="G376" s="4" t="n">
        <f aca="false">YEAR(E376)</f>
        <v>2020</v>
      </c>
      <c r="H376" s="4" t="str">
        <f aca="false">IF(E376&lt;DATE(2015,1,1),"2005–2014",IF(E376&lt;DATE(2022,3,5),"2015 – Mar 2022","Mar 2022 – Oct 2026"))</f>
        <v>2015 – Mar 2022</v>
      </c>
      <c r="I376" s="24" t="n">
        <v>134.708</v>
      </c>
      <c r="J376" s="24" t="n">
        <v>135.172</v>
      </c>
      <c r="K376" s="24" t="n">
        <v>132.869</v>
      </c>
      <c r="L376" s="25" t="n">
        <v>3.96</v>
      </c>
      <c r="M376" s="26" t="n">
        <v>46.447</v>
      </c>
      <c r="N376" s="4" t="s">
        <v>35</v>
      </c>
      <c r="O376" s="27" t="n">
        <v>0.0484</v>
      </c>
      <c r="P376" s="28" t="n">
        <f aca="false">Summary!$C$6*O376</f>
        <v>0.000242</v>
      </c>
      <c r="Q376" s="29" t="n">
        <f aca="false">Q375*(1+P376)</f>
        <v>13784.5869062702</v>
      </c>
      <c r="R376" s="29" t="n">
        <f aca="false">MAX(R375,Q376)</f>
        <v>13990.0505883999</v>
      </c>
      <c r="S376" s="30" t="n">
        <f aca="false">Q376/R376-1</f>
        <v>-0.0146864145223322</v>
      </c>
      <c r="T376" s="31" t="n">
        <f aca="false">DATE(YEAR(F376),MONTH(F376),1)</f>
        <v>44013</v>
      </c>
    </row>
    <row r="377" customFormat="false" ht="15" hidden="false" customHeight="true" outlineLevel="0" collapsed="false">
      <c r="A377" s="4" t="n">
        <v>376</v>
      </c>
      <c r="B377" s="4" t="s">
        <v>28</v>
      </c>
      <c r="C377" s="4" t="s">
        <v>53</v>
      </c>
      <c r="D377" s="23" t="n">
        <v>44032.9166666667</v>
      </c>
      <c r="E377" s="23" t="n">
        <v>44036.2916666667</v>
      </c>
      <c r="F377" s="23" t="n">
        <v>44040.5416666667</v>
      </c>
      <c r="G377" s="4" t="n">
        <f aca="false">YEAR(E377)</f>
        <v>2020</v>
      </c>
      <c r="H377" s="4" t="str">
        <f aca="false">IF(E377&lt;DATE(2015,1,1),"2005–2014",IF(E377&lt;DATE(2022,3,5),"2015 – Mar 2022","Mar 2022 – Oct 2026"))</f>
        <v>2015 – Mar 2022</v>
      </c>
      <c r="I377" s="24" t="n">
        <v>135.295</v>
      </c>
      <c r="J377" s="24" t="n">
        <v>134.828</v>
      </c>
      <c r="K377" s="24" t="n">
        <v>138.971</v>
      </c>
      <c r="L377" s="25" t="n">
        <v>7.862</v>
      </c>
      <c r="M377" s="26" t="n">
        <v>46.752</v>
      </c>
      <c r="N377" s="4" t="s">
        <v>35</v>
      </c>
      <c r="O377" s="27" t="n">
        <v>0.0481</v>
      </c>
      <c r="P377" s="28" t="n">
        <f aca="false">Summary!$C$6*O377</f>
        <v>0.0002405</v>
      </c>
      <c r="Q377" s="29" t="n">
        <f aca="false">Q376*(1+P377)</f>
        <v>13787.9020994212</v>
      </c>
      <c r="R377" s="29" t="n">
        <f aca="false">MAX(R376,Q377)</f>
        <v>13990.0505883999</v>
      </c>
      <c r="S377" s="30" t="n">
        <f aca="false">Q377/R377-1</f>
        <v>-0.0144494466050249</v>
      </c>
      <c r="T377" s="31" t="n">
        <f aca="false">DATE(YEAR(F377),MONTH(F377),1)</f>
        <v>44013</v>
      </c>
    </row>
    <row r="378" customFormat="false" ht="15" hidden="false" customHeight="true" outlineLevel="0" collapsed="false">
      <c r="A378" s="4" t="n">
        <v>377</v>
      </c>
      <c r="B378" s="4" t="s">
        <v>27</v>
      </c>
      <c r="C378" s="4" t="s">
        <v>53</v>
      </c>
      <c r="D378" s="23" t="n">
        <v>44040.9166666667</v>
      </c>
      <c r="E378" s="23" t="n">
        <v>44041.0520833333</v>
      </c>
      <c r="F378" s="23" t="n">
        <v>44043.5729166667</v>
      </c>
      <c r="G378" s="4" t="n">
        <f aca="false">YEAR(E378)</f>
        <v>2020</v>
      </c>
      <c r="H378" s="4" t="str">
        <f aca="false">IF(E378&lt;DATE(2015,1,1),"2005–2014",IF(E378&lt;DATE(2022,3,5),"2015 – Mar 2022","Mar 2022 – Oct 2026"))</f>
        <v>2015 – Mar 2022</v>
      </c>
      <c r="I378" s="24" t="n">
        <v>135.92</v>
      </c>
      <c r="J378" s="24" t="n">
        <v>135.481</v>
      </c>
      <c r="K378" s="24" t="n">
        <v>138.975</v>
      </c>
      <c r="L378" s="25" t="n">
        <v>6.963</v>
      </c>
      <c r="M378" s="26" t="n">
        <v>43.865</v>
      </c>
      <c r="N378" s="4" t="s">
        <v>33</v>
      </c>
      <c r="O378" s="27" t="n">
        <v>6.9635</v>
      </c>
      <c r="P378" s="28" t="n">
        <f aca="false">Summary!$C$6*O378</f>
        <v>0.0348175</v>
      </c>
      <c r="Q378" s="29" t="n">
        <f aca="false">Q377*(1+P378)</f>
        <v>14267.9623807678</v>
      </c>
      <c r="R378" s="29" t="n">
        <f aca="false">MAX(R377,Q378)</f>
        <v>14267.9623807678</v>
      </c>
      <c r="S378" s="30" t="n">
        <f aca="false">Q378/R378-1</f>
        <v>0</v>
      </c>
      <c r="T378" s="31" t="n">
        <f aca="false">DATE(YEAR(F378),MONTH(F378),1)</f>
        <v>44013</v>
      </c>
    </row>
    <row r="379" customFormat="false" ht="15" hidden="false" customHeight="true" outlineLevel="0" collapsed="false">
      <c r="A379" s="4" t="n">
        <v>378</v>
      </c>
      <c r="B379" s="4" t="s">
        <v>27</v>
      </c>
      <c r="C379" s="4" t="s">
        <v>54</v>
      </c>
      <c r="D379" s="23" t="n">
        <v>44054.9166666667</v>
      </c>
      <c r="E379" s="23" t="n">
        <v>44055</v>
      </c>
      <c r="F379" s="23" t="n">
        <v>44055.3333333333</v>
      </c>
      <c r="G379" s="4" t="n">
        <f aca="false">YEAR(E379)</f>
        <v>2020</v>
      </c>
      <c r="H379" s="4" t="str">
        <f aca="false">IF(E379&lt;DATE(2015,1,1),"2005–2014",IF(E379&lt;DATE(2022,3,5),"2015 – Mar 2022","Mar 2022 – Oct 2026"))</f>
        <v>2015 – Mar 2022</v>
      </c>
      <c r="I379" s="24" t="n">
        <v>138.996</v>
      </c>
      <c r="J379" s="24" t="n">
        <v>139.433</v>
      </c>
      <c r="K379" s="24" t="n">
        <v>136.465</v>
      </c>
      <c r="L379" s="25" t="n">
        <v>5.786</v>
      </c>
      <c r="M379" s="26" t="n">
        <v>43.736</v>
      </c>
      <c r="N379" s="4" t="s">
        <v>34</v>
      </c>
      <c r="O379" s="27" t="n">
        <v>-1.0171</v>
      </c>
      <c r="P379" s="28" t="n">
        <f aca="false">Summary!$C$6*O379</f>
        <v>-0.0050855</v>
      </c>
      <c r="Q379" s="29" t="n">
        <f aca="false">Q378*(1+P379)</f>
        <v>14195.4026580804</v>
      </c>
      <c r="R379" s="29" t="n">
        <f aca="false">MAX(R378,Q379)</f>
        <v>14267.9623807678</v>
      </c>
      <c r="S379" s="30" t="n">
        <f aca="false">Q379/R379-1</f>
        <v>-0.00508549999999997</v>
      </c>
      <c r="T379" s="31" t="n">
        <f aca="false">DATE(YEAR(F379),MONTH(F379),1)</f>
        <v>44044</v>
      </c>
    </row>
    <row r="380" customFormat="false" ht="15" hidden="false" customHeight="true" outlineLevel="0" collapsed="false">
      <c r="A380" s="4" t="n">
        <v>379</v>
      </c>
      <c r="B380" s="4" t="s">
        <v>27</v>
      </c>
      <c r="C380" s="4" t="s">
        <v>54</v>
      </c>
      <c r="D380" s="23" t="n">
        <v>44055.9166666667</v>
      </c>
      <c r="E380" s="23" t="n">
        <v>44056.6145833333</v>
      </c>
      <c r="F380" s="23" t="n">
        <v>44057.5208333333</v>
      </c>
      <c r="G380" s="4" t="n">
        <f aca="false">YEAR(E380)</f>
        <v>2020</v>
      </c>
      <c r="H380" s="4" t="str">
        <f aca="false">IF(E380&lt;DATE(2015,1,1),"2005–2014",IF(E380&lt;DATE(2022,3,5),"2015 – Mar 2022","Mar 2022 – Oct 2026"))</f>
        <v>2015 – Mar 2022</v>
      </c>
      <c r="I380" s="24" t="n">
        <v>139.964</v>
      </c>
      <c r="J380" s="24" t="n">
        <v>140.392</v>
      </c>
      <c r="K380" s="24" t="n">
        <v>136.464</v>
      </c>
      <c r="L380" s="25" t="n">
        <v>8.179</v>
      </c>
      <c r="M380" s="26" t="n">
        <v>42.788</v>
      </c>
      <c r="N380" s="4" t="s">
        <v>35</v>
      </c>
      <c r="O380" s="27" t="n">
        <v>0.0526</v>
      </c>
      <c r="P380" s="28" t="n">
        <f aca="false">Summary!$C$6*O380</f>
        <v>0.000263</v>
      </c>
      <c r="Q380" s="29" t="n">
        <f aca="false">Q379*(1+P380)</f>
        <v>14199.1360489795</v>
      </c>
      <c r="R380" s="29" t="n">
        <f aca="false">MAX(R379,Q380)</f>
        <v>14267.9623807678</v>
      </c>
      <c r="S380" s="30" t="n">
        <f aca="false">Q380/R380-1</f>
        <v>-0.00482383748650017</v>
      </c>
      <c r="T380" s="31" t="n">
        <f aca="false">DATE(YEAR(F380),MONTH(F380),1)</f>
        <v>44044</v>
      </c>
    </row>
    <row r="381" customFormat="false" ht="15" hidden="false" customHeight="true" outlineLevel="0" collapsed="false">
      <c r="A381" s="4" t="n">
        <v>380</v>
      </c>
      <c r="B381" s="4" t="s">
        <v>28</v>
      </c>
      <c r="C381" s="4" t="s">
        <v>54</v>
      </c>
      <c r="D381" s="23" t="n">
        <v>44060.9166666667</v>
      </c>
      <c r="E381" s="23" t="n">
        <v>44061.5625</v>
      </c>
      <c r="F381" s="23" t="n">
        <v>44062.15625</v>
      </c>
      <c r="G381" s="4" t="n">
        <f aca="false">YEAR(E381)</f>
        <v>2020</v>
      </c>
      <c r="H381" s="4" t="str">
        <f aca="false">IF(E381&lt;DATE(2015,1,1),"2005–2014",IF(E381&lt;DATE(2022,3,5),"2015 – Mar 2022","Mar 2022 – Oct 2026"))</f>
        <v>2015 – Mar 2022</v>
      </c>
      <c r="I381" s="24" t="n">
        <v>139.363</v>
      </c>
      <c r="J381" s="24" t="n">
        <v>139.777</v>
      </c>
      <c r="K381" s="24" t="n">
        <v>136.462</v>
      </c>
      <c r="L381" s="25" t="n">
        <v>7.014</v>
      </c>
      <c r="M381" s="26" t="n">
        <v>41.36</v>
      </c>
      <c r="N381" s="4" t="s">
        <v>34</v>
      </c>
      <c r="O381" s="27" t="n">
        <v>-1.0181</v>
      </c>
      <c r="P381" s="28" t="n">
        <f aca="false">Summary!$C$6*O381</f>
        <v>-0.0050905</v>
      </c>
      <c r="Q381" s="29" t="n">
        <f aca="false">Q380*(1+P381)</f>
        <v>14126.8553469221</v>
      </c>
      <c r="R381" s="29" t="n">
        <f aca="false">MAX(R380,Q381)</f>
        <v>14267.9623807678</v>
      </c>
      <c r="S381" s="30" t="n">
        <f aca="false">Q381/R381-1</f>
        <v>-0.00988978174177502</v>
      </c>
      <c r="T381" s="31" t="n">
        <f aca="false">DATE(YEAR(F381),MONTH(F381),1)</f>
        <v>44044</v>
      </c>
    </row>
    <row r="382" customFormat="false" ht="15" hidden="false" customHeight="true" outlineLevel="0" collapsed="false">
      <c r="A382" s="4" t="n">
        <v>381</v>
      </c>
      <c r="B382" s="4" t="s">
        <v>28</v>
      </c>
      <c r="C382" s="4" t="s">
        <v>54</v>
      </c>
      <c r="D382" s="23" t="n">
        <v>44062.9166666667</v>
      </c>
      <c r="E382" s="23" t="n">
        <v>44063.6666666667</v>
      </c>
      <c r="F382" s="23" t="n">
        <v>44068.4166666667</v>
      </c>
      <c r="G382" s="4" t="n">
        <f aca="false">YEAR(E382)</f>
        <v>2020</v>
      </c>
      <c r="H382" s="4" t="str">
        <f aca="false">IF(E382&lt;DATE(2015,1,1),"2005–2014",IF(E382&lt;DATE(2022,3,5),"2015 – Mar 2022","Mar 2022 – Oct 2026"))</f>
        <v>2015 – Mar 2022</v>
      </c>
      <c r="I382" s="24" t="n">
        <v>139.573</v>
      </c>
      <c r="J382" s="24" t="n">
        <v>139.993</v>
      </c>
      <c r="K382" s="24" t="n">
        <v>136.463</v>
      </c>
      <c r="L382" s="25" t="n">
        <v>7.401</v>
      </c>
      <c r="M382" s="26" t="n">
        <v>42.015</v>
      </c>
      <c r="N382" s="4" t="s">
        <v>35</v>
      </c>
      <c r="O382" s="27" t="n">
        <v>0.0536</v>
      </c>
      <c r="P382" s="28" t="n">
        <f aca="false">Summary!$C$6*O382</f>
        <v>0.000268</v>
      </c>
      <c r="Q382" s="29" t="n">
        <f aca="false">Q381*(1+P382)</f>
        <v>14130.6413441551</v>
      </c>
      <c r="R382" s="29" t="n">
        <f aca="false">MAX(R381,Q382)</f>
        <v>14267.9623807678</v>
      </c>
      <c r="S382" s="30" t="n">
        <f aca="false">Q382/R382-1</f>
        <v>-0.00962443220328191</v>
      </c>
      <c r="T382" s="31" t="n">
        <f aca="false">DATE(YEAR(F382),MONTH(F382),1)</f>
        <v>44044</v>
      </c>
    </row>
    <row r="383" customFormat="false" ht="15" hidden="false" customHeight="true" outlineLevel="0" collapsed="false">
      <c r="A383" s="4" t="n">
        <v>382</v>
      </c>
      <c r="B383" s="4" t="s">
        <v>28</v>
      </c>
      <c r="C383" s="4" t="s">
        <v>53</v>
      </c>
      <c r="D383" s="23" t="n">
        <v>44075.9166666667</v>
      </c>
      <c r="E383" s="23" t="n">
        <v>44076.5833333333</v>
      </c>
      <c r="F383" s="23" t="n">
        <v>44077.25</v>
      </c>
      <c r="G383" s="4" t="n">
        <f aca="false">YEAR(E383)</f>
        <v>2020</v>
      </c>
      <c r="H383" s="4" t="str">
        <f aca="false">IF(E383&lt;DATE(2015,1,1),"2005–2014",IF(E383&lt;DATE(2022,3,5),"2015 – Mar 2022","Mar 2022 – Oct 2026"))</f>
        <v>2015 – Mar 2022</v>
      </c>
      <c r="I383" s="24" t="n">
        <v>141.229</v>
      </c>
      <c r="J383" s="24" t="n">
        <v>140.752</v>
      </c>
      <c r="K383" s="24" t="n">
        <v>142.746</v>
      </c>
      <c r="L383" s="25" t="n">
        <v>3.185</v>
      </c>
      <c r="M383" s="26" t="n">
        <v>47.638</v>
      </c>
      <c r="N383" s="4" t="s">
        <v>35</v>
      </c>
      <c r="O383" s="27" t="n">
        <v>0.0472</v>
      </c>
      <c r="P383" s="28" t="n">
        <f aca="false">Summary!$C$6*O383</f>
        <v>0.000236</v>
      </c>
      <c r="Q383" s="29" t="n">
        <f aca="false">Q382*(1+P383)</f>
        <v>14133.9761755123</v>
      </c>
      <c r="R383" s="29" t="n">
        <f aca="false">MAX(R382,Q383)</f>
        <v>14267.9623807678</v>
      </c>
      <c r="S383" s="30" t="n">
        <f aca="false">Q383/R383-1</f>
        <v>-0.00939070356928207</v>
      </c>
      <c r="T383" s="31" t="n">
        <f aca="false">DATE(YEAR(F383),MONTH(F383),1)</f>
        <v>44075</v>
      </c>
    </row>
    <row r="384" customFormat="false" ht="15" hidden="false" customHeight="true" outlineLevel="0" collapsed="false">
      <c r="A384" s="4" t="n">
        <v>383</v>
      </c>
      <c r="B384" s="4" t="s">
        <v>27</v>
      </c>
      <c r="C384" s="4" t="s">
        <v>53</v>
      </c>
      <c r="D384" s="23" t="n">
        <v>44077.9166666667</v>
      </c>
      <c r="E384" s="23" t="n">
        <v>44078.0520833333</v>
      </c>
      <c r="F384" s="23" t="n">
        <v>44078.5520833333</v>
      </c>
      <c r="G384" s="4" t="n">
        <f aca="false">YEAR(E384)</f>
        <v>2020</v>
      </c>
      <c r="H384" s="4" t="str">
        <f aca="false">IF(E384&lt;DATE(2015,1,1),"2005–2014",IF(E384&lt;DATE(2022,3,5),"2015 – Mar 2022","Mar 2022 – Oct 2026"))</f>
        <v>2015 – Mar 2022</v>
      </c>
      <c r="I384" s="24" t="n">
        <v>140.984</v>
      </c>
      <c r="J384" s="24" t="n">
        <v>140.507</v>
      </c>
      <c r="K384" s="24" t="n">
        <v>142.746</v>
      </c>
      <c r="L384" s="25" t="n">
        <v>3.69</v>
      </c>
      <c r="M384" s="26" t="n">
        <v>47.744</v>
      </c>
      <c r="N384" s="4" t="s">
        <v>34</v>
      </c>
      <c r="O384" s="27" t="n">
        <v>-1.0157</v>
      </c>
      <c r="P384" s="28" t="n">
        <f aca="false">Summary!$C$6*O384</f>
        <v>-0.0050785</v>
      </c>
      <c r="Q384" s="29" t="n">
        <f aca="false">Q383*(1+P384)</f>
        <v>14062.196777505</v>
      </c>
      <c r="R384" s="29" t="n">
        <f aca="false">MAX(R383,Q384)</f>
        <v>14267.9623807678</v>
      </c>
      <c r="S384" s="30" t="n">
        <f aca="false">Q384/R384-1</f>
        <v>-0.0144215128812054</v>
      </c>
      <c r="T384" s="31" t="n">
        <f aca="false">DATE(YEAR(F384),MONTH(F384),1)</f>
        <v>44075</v>
      </c>
    </row>
    <row r="385" customFormat="false" ht="15" hidden="false" customHeight="true" outlineLevel="0" collapsed="false">
      <c r="A385" s="4" t="n">
        <v>384</v>
      </c>
      <c r="B385" s="4" t="s">
        <v>27</v>
      </c>
      <c r="C385" s="4" t="s">
        <v>53</v>
      </c>
      <c r="D385" s="23" t="n">
        <v>44078.9166666667</v>
      </c>
      <c r="E385" s="23" t="n">
        <v>44081.0520833333</v>
      </c>
      <c r="F385" s="23" t="n">
        <v>44081.2395833333</v>
      </c>
      <c r="G385" s="4" t="n">
        <f aca="false">YEAR(E385)</f>
        <v>2020</v>
      </c>
      <c r="H385" s="4" t="str">
        <f aca="false">IF(E385&lt;DATE(2015,1,1),"2005–2014",IF(E385&lt;DATE(2022,3,5),"2015 – Mar 2022","Mar 2022 – Oct 2026"))</f>
        <v>2015 – Mar 2022</v>
      </c>
      <c r="I385" s="24" t="n">
        <v>140.888</v>
      </c>
      <c r="J385" s="24" t="n">
        <v>140.406</v>
      </c>
      <c r="K385" s="24" t="n">
        <v>142.745</v>
      </c>
      <c r="L385" s="25" t="n">
        <v>3.853</v>
      </c>
      <c r="M385" s="26" t="n">
        <v>48.202</v>
      </c>
      <c r="N385" s="4" t="s">
        <v>34</v>
      </c>
      <c r="O385" s="27" t="n">
        <v>-1.0156</v>
      </c>
      <c r="P385" s="28" t="n">
        <f aca="false">Summary!$C$6*O385</f>
        <v>-0.005078</v>
      </c>
      <c r="Q385" s="29" t="n">
        <f aca="false">Q384*(1+P385)</f>
        <v>13990.7889422688</v>
      </c>
      <c r="R385" s="29" t="n">
        <f aca="false">MAX(R384,Q385)</f>
        <v>14267.9623807678</v>
      </c>
      <c r="S385" s="30" t="n">
        <f aca="false">Q385/R385-1</f>
        <v>-0.0194262804387946</v>
      </c>
      <c r="T385" s="31" t="n">
        <f aca="false">DATE(YEAR(F385),MONTH(F385),1)</f>
        <v>44075</v>
      </c>
    </row>
    <row r="386" customFormat="false" ht="15" hidden="false" customHeight="true" outlineLevel="0" collapsed="false">
      <c r="A386" s="4" t="n">
        <v>385</v>
      </c>
      <c r="B386" s="4" t="s">
        <v>27</v>
      </c>
      <c r="C386" s="4" t="s">
        <v>53</v>
      </c>
      <c r="D386" s="23" t="n">
        <v>44089.9166666667</v>
      </c>
      <c r="E386" s="23" t="n">
        <v>44090.1875</v>
      </c>
      <c r="F386" s="23" t="n">
        <v>44091.0104166667</v>
      </c>
      <c r="G386" s="4" t="n">
        <f aca="false">YEAR(E386)</f>
        <v>2020</v>
      </c>
      <c r="H386" s="4" t="str">
        <f aca="false">IF(E386&lt;DATE(2015,1,1),"2005–2014",IF(E386&lt;DATE(2022,3,5),"2015 – Mar 2022","Mar 2022 – Oct 2026"))</f>
        <v>2015 – Mar 2022</v>
      </c>
      <c r="I386" s="24" t="n">
        <v>135.79</v>
      </c>
      <c r="J386" s="24" t="n">
        <v>135.245</v>
      </c>
      <c r="K386" s="24" t="n">
        <v>138.328</v>
      </c>
      <c r="L386" s="25" t="n">
        <v>4.654</v>
      </c>
      <c r="M386" s="26" t="n">
        <v>54.52</v>
      </c>
      <c r="N386" s="4" t="s">
        <v>35</v>
      </c>
      <c r="O386" s="27" t="n">
        <v>0.0413</v>
      </c>
      <c r="P386" s="28" t="n">
        <f aca="false">Summary!$C$6*O386</f>
        <v>0.0002065</v>
      </c>
      <c r="Q386" s="29" t="n">
        <f aca="false">Q385*(1+P386)</f>
        <v>13993.6780401854</v>
      </c>
      <c r="R386" s="29" t="n">
        <f aca="false">MAX(R385,Q386)</f>
        <v>14267.9623807678</v>
      </c>
      <c r="S386" s="30" t="n">
        <f aca="false">Q386/R386-1</f>
        <v>-0.0192237919657052</v>
      </c>
      <c r="T386" s="31" t="n">
        <f aca="false">DATE(YEAR(F386),MONTH(F386),1)</f>
        <v>44075</v>
      </c>
    </row>
    <row r="387" customFormat="false" ht="15" hidden="false" customHeight="true" outlineLevel="0" collapsed="false">
      <c r="A387" s="4" t="n">
        <v>386</v>
      </c>
      <c r="B387" s="4" t="s">
        <v>27</v>
      </c>
      <c r="C387" s="4" t="s">
        <v>53</v>
      </c>
      <c r="D387" s="23" t="n">
        <v>44091.9166666667</v>
      </c>
      <c r="E387" s="23" t="n">
        <v>44092.0416666667</v>
      </c>
      <c r="F387" s="23" t="n">
        <v>44092.40625</v>
      </c>
      <c r="G387" s="4" t="n">
        <f aca="false">YEAR(E387)</f>
        <v>2020</v>
      </c>
      <c r="H387" s="4" t="str">
        <f aca="false">IF(E387&lt;DATE(2015,1,1),"2005–2014",IF(E387&lt;DATE(2022,3,5),"2015 – Mar 2022","Mar 2022 – Oct 2026"))</f>
        <v>2015 – Mar 2022</v>
      </c>
      <c r="I387" s="24" t="n">
        <v>135.95</v>
      </c>
      <c r="J387" s="24" t="n">
        <v>135.407</v>
      </c>
      <c r="K387" s="24" t="n">
        <v>138.328</v>
      </c>
      <c r="L387" s="25" t="n">
        <v>4.379</v>
      </c>
      <c r="M387" s="26" t="n">
        <v>54.304</v>
      </c>
      <c r="N387" s="4" t="s">
        <v>34</v>
      </c>
      <c r="O387" s="27" t="n">
        <v>-1.0138</v>
      </c>
      <c r="P387" s="28" t="n">
        <f aca="false">Summary!$C$6*O387</f>
        <v>-0.005069</v>
      </c>
      <c r="Q387" s="29" t="n">
        <f aca="false">Q386*(1+P387)</f>
        <v>13922.7440861997</v>
      </c>
      <c r="R387" s="29" t="n">
        <f aca="false">MAX(R386,Q387)</f>
        <v>14267.9623807678</v>
      </c>
      <c r="S387" s="30" t="n">
        <f aca="false">Q387/R387-1</f>
        <v>-0.0241953465642309</v>
      </c>
      <c r="T387" s="31" t="n">
        <f aca="false">DATE(YEAR(F387),MONTH(F387),1)</f>
        <v>44075</v>
      </c>
    </row>
    <row r="388" customFormat="false" ht="15" hidden="false" customHeight="true" outlineLevel="0" collapsed="false">
      <c r="A388" s="4" t="n">
        <v>387</v>
      </c>
      <c r="B388" s="4" t="s">
        <v>27</v>
      </c>
      <c r="C388" s="4" t="s">
        <v>54</v>
      </c>
      <c r="D388" s="23" t="n">
        <v>44102.9166666667</v>
      </c>
      <c r="E388" s="23" t="n">
        <v>44103.0833333333</v>
      </c>
      <c r="F388" s="23" t="n">
        <v>44103.3229166667</v>
      </c>
      <c r="G388" s="4" t="n">
        <f aca="false">YEAR(E388)</f>
        <v>2020</v>
      </c>
      <c r="H388" s="4" t="str">
        <f aca="false">IF(E388&lt;DATE(2015,1,1),"2005–2014",IF(E388&lt;DATE(2022,3,5),"2015 – Mar 2022","Mar 2022 – Oct 2026"))</f>
        <v>2015 – Mar 2022</v>
      </c>
      <c r="I388" s="24" t="n">
        <v>135.462</v>
      </c>
      <c r="J388" s="24" t="n">
        <v>136.016</v>
      </c>
      <c r="K388" s="24" t="n">
        <v>133.72</v>
      </c>
      <c r="L388" s="25" t="n">
        <v>3.143</v>
      </c>
      <c r="M388" s="26" t="n">
        <v>55.443</v>
      </c>
      <c r="N388" s="4" t="s">
        <v>34</v>
      </c>
      <c r="O388" s="27" t="n">
        <v>-1.0135</v>
      </c>
      <c r="P388" s="28" t="n">
        <f aca="false">Summary!$C$6*O388</f>
        <v>-0.0050675</v>
      </c>
      <c r="Q388" s="29" t="n">
        <f aca="false">Q387*(1+P388)</f>
        <v>13852.1905805429</v>
      </c>
      <c r="R388" s="29" t="n">
        <f aca="false">MAX(R387,Q388)</f>
        <v>14267.9623807678</v>
      </c>
      <c r="S388" s="30" t="n">
        <f aca="false">Q388/R388-1</f>
        <v>-0.0291402366455168</v>
      </c>
      <c r="T388" s="31" t="n">
        <f aca="false">DATE(YEAR(F388),MONTH(F388),1)</f>
        <v>44075</v>
      </c>
    </row>
    <row r="389" customFormat="false" ht="15" hidden="false" customHeight="true" outlineLevel="0" collapsed="false">
      <c r="A389" s="4" t="n">
        <v>388</v>
      </c>
      <c r="B389" s="4" t="s">
        <v>28</v>
      </c>
      <c r="C389" s="4" t="s">
        <v>53</v>
      </c>
      <c r="D389" s="23" t="n">
        <v>44103.9166666667</v>
      </c>
      <c r="E389" s="23" t="n">
        <v>44104.25</v>
      </c>
      <c r="F389" s="23" t="n">
        <v>44106.2083333333</v>
      </c>
      <c r="G389" s="4" t="n">
        <f aca="false">YEAR(E389)</f>
        <v>2020</v>
      </c>
      <c r="H389" s="4" t="str">
        <f aca="false">IF(E389&lt;DATE(2015,1,1),"2005–2014",IF(E389&lt;DATE(2022,3,5),"2015 – Mar 2022","Mar 2022 – Oct 2026"))</f>
        <v>2015 – Mar 2022</v>
      </c>
      <c r="I389" s="24" t="n">
        <v>135.287</v>
      </c>
      <c r="J389" s="24" t="n">
        <v>134.748</v>
      </c>
      <c r="K389" s="24" t="n">
        <v>138.328</v>
      </c>
      <c r="L389" s="25" t="n">
        <v>5.642</v>
      </c>
      <c r="M389" s="26" t="n">
        <v>53.904</v>
      </c>
      <c r="N389" s="4" t="s">
        <v>35</v>
      </c>
      <c r="O389" s="27" t="n">
        <v>0.0417</v>
      </c>
      <c r="P389" s="28" t="n">
        <f aca="false">Summary!$C$6*O389</f>
        <v>0.0002085</v>
      </c>
      <c r="Q389" s="29" t="n">
        <f aca="false">Q388*(1+P389)</f>
        <v>13855.0787622789</v>
      </c>
      <c r="R389" s="29" t="n">
        <f aca="false">MAX(R388,Q389)</f>
        <v>14267.9623807678</v>
      </c>
      <c r="S389" s="30" t="n">
        <f aca="false">Q389/R389-1</f>
        <v>-0.0289378123848574</v>
      </c>
      <c r="T389" s="31" t="n">
        <f aca="false">DATE(YEAR(F389),MONTH(F389),1)</f>
        <v>44105</v>
      </c>
    </row>
    <row r="390" customFormat="false" ht="15" hidden="false" customHeight="true" outlineLevel="0" collapsed="false">
      <c r="A390" s="4" t="n">
        <v>389</v>
      </c>
      <c r="B390" s="4" t="s">
        <v>27</v>
      </c>
      <c r="C390" s="4" t="s">
        <v>53</v>
      </c>
      <c r="D390" s="23" t="n">
        <v>44120.9166666667</v>
      </c>
      <c r="E390" s="23" t="n">
        <v>44123.0833333333</v>
      </c>
      <c r="F390" s="23" t="n">
        <v>44130.3020833333</v>
      </c>
      <c r="G390" s="4" t="n">
        <f aca="false">YEAR(E390)</f>
        <v>2020</v>
      </c>
      <c r="H390" s="4" t="str">
        <f aca="false">IF(E390&lt;DATE(2015,1,1),"2005–2014",IF(E390&lt;DATE(2022,3,5),"2015 – Mar 2022","Mar 2022 – Oct 2026"))</f>
        <v>2015 – Mar 2022</v>
      </c>
      <c r="I390" s="24" t="n">
        <v>136.27</v>
      </c>
      <c r="J390" s="24" t="n">
        <v>135.756</v>
      </c>
      <c r="K390" s="24" t="n">
        <v>138.331</v>
      </c>
      <c r="L390" s="25" t="n">
        <v>4.014</v>
      </c>
      <c r="M390" s="26" t="n">
        <v>51.356</v>
      </c>
      <c r="N390" s="4" t="s">
        <v>35</v>
      </c>
      <c r="O390" s="27" t="n">
        <v>0.0438</v>
      </c>
      <c r="P390" s="28" t="n">
        <f aca="false">Summary!$C$6*O390</f>
        <v>0.000219</v>
      </c>
      <c r="Q390" s="29" t="n">
        <f aca="false">Q389*(1+P390)</f>
        <v>13858.1130245279</v>
      </c>
      <c r="R390" s="29" t="n">
        <f aca="false">MAX(R389,Q390)</f>
        <v>14267.9623807678</v>
      </c>
      <c r="S390" s="30" t="n">
        <f aca="false">Q390/R390-1</f>
        <v>-0.0287251497657697</v>
      </c>
      <c r="T390" s="31" t="n">
        <f aca="false">DATE(YEAR(F390),MONTH(F390),1)</f>
        <v>44105</v>
      </c>
    </row>
    <row r="391" customFormat="false" ht="15" hidden="false" customHeight="true" outlineLevel="0" collapsed="false">
      <c r="A391" s="4" t="n">
        <v>390</v>
      </c>
      <c r="B391" s="4" t="s">
        <v>28</v>
      </c>
      <c r="C391" s="4" t="s">
        <v>54</v>
      </c>
      <c r="D391" s="23" t="n">
        <v>44132.9166666667</v>
      </c>
      <c r="E391" s="23" t="n">
        <v>44133.15625</v>
      </c>
      <c r="F391" s="23" t="n">
        <v>44134.2395833333</v>
      </c>
      <c r="G391" s="4" t="n">
        <f aca="false">YEAR(E391)</f>
        <v>2020</v>
      </c>
      <c r="H391" s="4" t="str">
        <f aca="false">IF(E391&lt;DATE(2015,1,1),"2005–2014",IF(E391&lt;DATE(2022,3,5),"2015 – Mar 2022","Mar 2022 – Oct 2026"))</f>
        <v>2015 – Mar 2022</v>
      </c>
      <c r="I391" s="24" t="n">
        <v>135.814</v>
      </c>
      <c r="J391" s="24" t="n">
        <v>136.266</v>
      </c>
      <c r="K391" s="24" t="n">
        <v>134.437</v>
      </c>
      <c r="L391" s="25" t="n">
        <v>3.049</v>
      </c>
      <c r="M391" s="26" t="n">
        <v>45.161</v>
      </c>
      <c r="N391" s="4" t="s">
        <v>33</v>
      </c>
      <c r="O391" s="27" t="n">
        <v>3.0491</v>
      </c>
      <c r="P391" s="28" t="n">
        <f aca="false">Summary!$C$6*O391</f>
        <v>0.0152455</v>
      </c>
      <c r="Q391" s="29" t="n">
        <f aca="false">Q390*(1+P391)</f>
        <v>14069.3868866433</v>
      </c>
      <c r="R391" s="29" t="n">
        <f aca="false">MAX(R390,Q391)</f>
        <v>14267.9623807678</v>
      </c>
      <c r="S391" s="30" t="n">
        <f aca="false">Q391/R391-1</f>
        <v>-0.0139175790365236</v>
      </c>
      <c r="T391" s="31" t="n">
        <f aca="false">DATE(YEAR(F391),MONTH(F391),1)</f>
        <v>44105</v>
      </c>
    </row>
    <row r="392" customFormat="false" ht="15" hidden="false" customHeight="true" outlineLevel="0" collapsed="false">
      <c r="A392" s="4" t="n">
        <v>391</v>
      </c>
      <c r="B392" s="4" t="s">
        <v>27</v>
      </c>
      <c r="C392" s="4" t="s">
        <v>53</v>
      </c>
      <c r="D392" s="23" t="n">
        <v>44134.9166666667</v>
      </c>
      <c r="E392" s="23" t="n">
        <v>44137.0833333333</v>
      </c>
      <c r="F392" s="23" t="n">
        <v>44137.3645833333</v>
      </c>
      <c r="G392" s="4" t="n">
        <f aca="false">YEAR(E392)</f>
        <v>2020</v>
      </c>
      <c r="H392" s="4" t="str">
        <f aca="false">IF(E392&lt;DATE(2015,1,1),"2005–2014",IF(E392&lt;DATE(2022,3,5),"2015 – Mar 2022","Mar 2022 – Oct 2026"))</f>
        <v>2015 – Mar 2022</v>
      </c>
      <c r="I392" s="24" t="n">
        <v>135.366</v>
      </c>
      <c r="J392" s="24" t="n">
        <v>134.9</v>
      </c>
      <c r="K392" s="24" t="n">
        <v>137.147</v>
      </c>
      <c r="L392" s="25" t="n">
        <v>3.825</v>
      </c>
      <c r="M392" s="26" t="n">
        <v>46.569</v>
      </c>
      <c r="N392" s="4" t="s">
        <v>34</v>
      </c>
      <c r="O392" s="27" t="n">
        <v>-1.0161</v>
      </c>
      <c r="P392" s="28" t="n">
        <f aca="false">Summary!$C$6*O392</f>
        <v>-0.0050805</v>
      </c>
      <c r="Q392" s="29" t="n">
        <f aca="false">Q391*(1+P392)</f>
        <v>13997.9073665657</v>
      </c>
      <c r="R392" s="29" t="n">
        <f aca="false">MAX(R391,Q392)</f>
        <v>14267.9623807678</v>
      </c>
      <c r="S392" s="30" t="n">
        <f aca="false">Q392/R392-1</f>
        <v>-0.0189273707762285</v>
      </c>
      <c r="T392" s="31" t="n">
        <f aca="false">DATE(YEAR(F392),MONTH(F392),1)</f>
        <v>44136</v>
      </c>
    </row>
    <row r="393" customFormat="false" ht="15" hidden="false" customHeight="true" outlineLevel="0" collapsed="false">
      <c r="A393" s="4" t="n">
        <v>392</v>
      </c>
      <c r="B393" s="4" t="s">
        <v>27</v>
      </c>
      <c r="C393" s="4" t="s">
        <v>53</v>
      </c>
      <c r="D393" s="23" t="n">
        <v>44137.9166666667</v>
      </c>
      <c r="E393" s="23" t="n">
        <v>44138.1458333333</v>
      </c>
      <c r="F393" s="23" t="n">
        <v>44138.9791666667</v>
      </c>
      <c r="G393" s="4" t="n">
        <f aca="false">YEAR(E393)</f>
        <v>2020</v>
      </c>
      <c r="H393" s="4" t="str">
        <f aca="false">IF(E393&lt;DATE(2015,1,1),"2005–2014",IF(E393&lt;DATE(2022,3,5),"2015 – Mar 2022","Mar 2022 – Oct 2026"))</f>
        <v>2015 – Mar 2022</v>
      </c>
      <c r="I393" s="24" t="n">
        <v>135.317</v>
      </c>
      <c r="J393" s="24" t="n">
        <v>134.865</v>
      </c>
      <c r="K393" s="24" t="n">
        <v>137.149</v>
      </c>
      <c r="L393" s="25" t="n">
        <v>4.055</v>
      </c>
      <c r="M393" s="26" t="n">
        <v>45.182</v>
      </c>
      <c r="N393" s="4" t="s">
        <v>33</v>
      </c>
      <c r="O393" s="27" t="n">
        <v>4.0545</v>
      </c>
      <c r="P393" s="28" t="n">
        <f aca="false">Summary!$C$6*O393</f>
        <v>0.0202725</v>
      </c>
      <c r="Q393" s="29" t="n">
        <f aca="false">Q392*(1+P393)</f>
        <v>14281.6799436544</v>
      </c>
      <c r="R393" s="29" t="n">
        <f aca="false">MAX(R392,Q393)</f>
        <v>14281.6799436544</v>
      </c>
      <c r="S393" s="30" t="n">
        <f aca="false">Q393/R393-1</f>
        <v>0</v>
      </c>
      <c r="T393" s="31" t="n">
        <f aca="false">DATE(YEAR(F393),MONTH(F393),1)</f>
        <v>44136</v>
      </c>
    </row>
    <row r="394" customFormat="false" ht="15" hidden="false" customHeight="true" outlineLevel="0" collapsed="false">
      <c r="A394" s="4" t="n">
        <v>393</v>
      </c>
      <c r="B394" s="4" t="s">
        <v>27</v>
      </c>
      <c r="C394" s="4" t="s">
        <v>53</v>
      </c>
      <c r="D394" s="23" t="n">
        <v>44141.9166666667</v>
      </c>
      <c r="E394" s="23" t="n">
        <v>44144.3541666667</v>
      </c>
      <c r="F394" s="23" t="n">
        <v>44144.53125</v>
      </c>
      <c r="G394" s="4" t="n">
        <f aca="false">YEAR(E394)</f>
        <v>2020</v>
      </c>
      <c r="H394" s="4" t="str">
        <f aca="false">IF(E394&lt;DATE(2015,1,1),"2005–2014",IF(E394&lt;DATE(2022,3,5),"2015 – Mar 2022","Mar 2022 – Oct 2026"))</f>
        <v>2015 – Mar 2022</v>
      </c>
      <c r="I394" s="24" t="n">
        <v>136.161</v>
      </c>
      <c r="J394" s="24" t="n">
        <v>135.682</v>
      </c>
      <c r="K394" s="24" t="n">
        <v>137.733</v>
      </c>
      <c r="L394" s="25" t="n">
        <v>3.283</v>
      </c>
      <c r="M394" s="26" t="n">
        <v>47.867</v>
      </c>
      <c r="N394" s="4" t="s">
        <v>33</v>
      </c>
      <c r="O394" s="27" t="n">
        <v>3.2833</v>
      </c>
      <c r="P394" s="28" t="n">
        <f aca="false">Summary!$C$6*O394</f>
        <v>0.0164165</v>
      </c>
      <c r="Q394" s="29" t="n">
        <f aca="false">Q393*(1+P394)</f>
        <v>14516.1351424494</v>
      </c>
      <c r="R394" s="29" t="n">
        <f aca="false">MAX(R393,Q394)</f>
        <v>14516.1351424494</v>
      </c>
      <c r="S394" s="30" t="n">
        <f aca="false">Q394/R394-1</f>
        <v>0</v>
      </c>
      <c r="T394" s="31" t="n">
        <f aca="false">DATE(YEAR(F394),MONTH(F394),1)</f>
        <v>44136</v>
      </c>
    </row>
    <row r="395" customFormat="false" ht="15" hidden="false" customHeight="true" outlineLevel="0" collapsed="false">
      <c r="A395" s="4" t="n">
        <v>394</v>
      </c>
      <c r="B395" s="4" t="s">
        <v>27</v>
      </c>
      <c r="C395" s="4" t="s">
        <v>53</v>
      </c>
      <c r="D395" s="23" t="n">
        <v>44154.9166666667</v>
      </c>
      <c r="E395" s="23" t="n">
        <v>44155.0208333333</v>
      </c>
      <c r="F395" s="23" t="n">
        <v>44159</v>
      </c>
      <c r="G395" s="4" t="n">
        <f aca="false">YEAR(E395)</f>
        <v>2020</v>
      </c>
      <c r="H395" s="4" t="str">
        <f aca="false">IF(E395&lt;DATE(2015,1,1),"2005–2014",IF(E395&lt;DATE(2022,3,5),"2015 – Mar 2022","Mar 2022 – Oct 2026"))</f>
        <v>2015 – Mar 2022</v>
      </c>
      <c r="I395" s="24" t="n">
        <v>137.634</v>
      </c>
      <c r="J395" s="24" t="n">
        <v>137.154</v>
      </c>
      <c r="K395" s="24" t="n">
        <v>139.384</v>
      </c>
      <c r="L395" s="25" t="n">
        <v>3.643</v>
      </c>
      <c r="M395" s="26" t="n">
        <v>48.046</v>
      </c>
      <c r="N395" s="4" t="s">
        <v>33</v>
      </c>
      <c r="O395" s="27" t="n">
        <v>3.6432</v>
      </c>
      <c r="P395" s="28" t="n">
        <f aca="false">Summary!$C$6*O395</f>
        <v>0.018216</v>
      </c>
      <c r="Q395" s="29" t="n">
        <f aca="false">Q394*(1+P395)</f>
        <v>14780.5610602043</v>
      </c>
      <c r="R395" s="29" t="n">
        <f aca="false">MAX(R394,Q395)</f>
        <v>14780.5610602043</v>
      </c>
      <c r="S395" s="30" t="n">
        <f aca="false">Q395/R395-1</f>
        <v>0</v>
      </c>
      <c r="T395" s="31" t="n">
        <f aca="false">DATE(YEAR(F395),MONTH(F395),1)</f>
        <v>44136</v>
      </c>
    </row>
    <row r="396" customFormat="false" ht="15" hidden="false" customHeight="true" outlineLevel="0" collapsed="false">
      <c r="A396" s="4" t="n">
        <v>395</v>
      </c>
      <c r="B396" s="4" t="s">
        <v>27</v>
      </c>
      <c r="C396" s="4" t="s">
        <v>54</v>
      </c>
      <c r="D396" s="23" t="n">
        <v>44168.9166666667</v>
      </c>
      <c r="E396" s="23" t="n">
        <v>44169.3333333333</v>
      </c>
      <c r="F396" s="23" t="n">
        <v>44169.40625</v>
      </c>
      <c r="G396" s="4" t="n">
        <f aca="false">YEAR(E396)</f>
        <v>2020</v>
      </c>
      <c r="H396" s="4" t="str">
        <f aca="false">IF(E396&lt;DATE(2015,1,1),"2005–2014",IF(E396&lt;DATE(2022,3,5),"2015 – Mar 2022","Mar 2022 – Oct 2026"))</f>
        <v>2015 – Mar 2022</v>
      </c>
      <c r="I396" s="24" t="n">
        <v>139.709</v>
      </c>
      <c r="J396" s="24" t="n">
        <v>140.163</v>
      </c>
      <c r="K396" s="24" t="n">
        <v>137.846</v>
      </c>
      <c r="L396" s="25" t="n">
        <v>4.1</v>
      </c>
      <c r="M396" s="26" t="n">
        <v>45.424</v>
      </c>
      <c r="N396" s="4" t="s">
        <v>34</v>
      </c>
      <c r="O396" s="27" t="n">
        <v>-1.0165</v>
      </c>
      <c r="P396" s="28" t="n">
        <f aca="false">Summary!$C$6*O396</f>
        <v>-0.0050825</v>
      </c>
      <c r="Q396" s="29" t="n">
        <f aca="false">Q395*(1+P396)</f>
        <v>14705.4388586158</v>
      </c>
      <c r="R396" s="29" t="n">
        <f aca="false">MAX(R395,Q396)</f>
        <v>14780.5610602043</v>
      </c>
      <c r="S396" s="30" t="n">
        <f aca="false">Q396/R396-1</f>
        <v>-0.00508249999999999</v>
      </c>
      <c r="T396" s="31" t="n">
        <f aca="false">DATE(YEAR(F396),MONTH(F396),1)</f>
        <v>44166</v>
      </c>
    </row>
    <row r="397" customFormat="false" ht="15" hidden="false" customHeight="true" outlineLevel="0" collapsed="false">
      <c r="A397" s="4" t="n">
        <v>396</v>
      </c>
      <c r="B397" s="4" t="s">
        <v>28</v>
      </c>
      <c r="C397" s="4" t="s">
        <v>54</v>
      </c>
      <c r="D397" s="23" t="n">
        <v>44172.9166666667</v>
      </c>
      <c r="E397" s="23" t="n">
        <v>44174.34375</v>
      </c>
      <c r="F397" s="23" t="n">
        <v>44174.5520833333</v>
      </c>
      <c r="G397" s="4" t="n">
        <f aca="false">YEAR(E397)</f>
        <v>2020</v>
      </c>
      <c r="H397" s="4" t="str">
        <f aca="false">IF(E397&lt;DATE(2015,1,1),"2005–2014",IF(E397&lt;DATE(2022,3,5),"2015 – Mar 2022","Mar 2022 – Oct 2026"))</f>
        <v>2015 – Mar 2022</v>
      </c>
      <c r="I397" s="24" t="n">
        <v>139.743</v>
      </c>
      <c r="J397" s="24" t="n">
        <v>140.23</v>
      </c>
      <c r="K397" s="24" t="n">
        <v>137.85</v>
      </c>
      <c r="L397" s="25" t="n">
        <v>3.883</v>
      </c>
      <c r="M397" s="26" t="n">
        <v>48.741</v>
      </c>
      <c r="N397" s="4" t="s">
        <v>34</v>
      </c>
      <c r="O397" s="27" t="n">
        <v>-1.0154</v>
      </c>
      <c r="P397" s="28" t="n">
        <f aca="false">Summary!$C$6*O397</f>
        <v>-0.005077</v>
      </c>
      <c r="Q397" s="29" t="n">
        <f aca="false">Q396*(1+P397)</f>
        <v>14630.7793455306</v>
      </c>
      <c r="R397" s="29" t="n">
        <f aca="false">MAX(R396,Q397)</f>
        <v>14780.5610602043</v>
      </c>
      <c r="S397" s="30" t="n">
        <f aca="false">Q397/R397-1</f>
        <v>-0.0101336961475</v>
      </c>
      <c r="T397" s="31" t="n">
        <f aca="false">DATE(YEAR(F397),MONTH(F397),1)</f>
        <v>44166</v>
      </c>
    </row>
    <row r="398" customFormat="false" ht="15" hidden="false" customHeight="true" outlineLevel="0" collapsed="false">
      <c r="A398" s="4" t="n">
        <v>397</v>
      </c>
      <c r="B398" s="4" t="s">
        <v>27</v>
      </c>
      <c r="C398" s="4" t="s">
        <v>54</v>
      </c>
      <c r="D398" s="23" t="n">
        <v>44174.9166666667</v>
      </c>
      <c r="E398" s="23" t="n">
        <v>44175.2604166667</v>
      </c>
      <c r="F398" s="23" t="n">
        <v>44176.34375</v>
      </c>
      <c r="G398" s="4" t="n">
        <f aca="false">YEAR(E398)</f>
        <v>2020</v>
      </c>
      <c r="H398" s="4" t="str">
        <f aca="false">IF(E398&lt;DATE(2015,1,1),"2005–2014",IF(E398&lt;DATE(2022,3,5),"2015 – Mar 2022","Mar 2022 – Oct 2026"))</f>
        <v>2015 – Mar 2022</v>
      </c>
      <c r="I398" s="24" t="n">
        <v>139.56</v>
      </c>
      <c r="J398" s="24" t="n">
        <v>140.043</v>
      </c>
      <c r="K398" s="24" t="n">
        <v>137.85</v>
      </c>
      <c r="L398" s="25" t="n">
        <v>3.54</v>
      </c>
      <c r="M398" s="26" t="n">
        <v>48.305</v>
      </c>
      <c r="N398" s="4" t="s">
        <v>33</v>
      </c>
      <c r="O398" s="27" t="n">
        <v>3.5402</v>
      </c>
      <c r="P398" s="28" t="n">
        <f aca="false">Summary!$C$6*O398</f>
        <v>0.017701</v>
      </c>
      <c r="Q398" s="29" t="n">
        <f aca="false">Q397*(1+P398)</f>
        <v>14889.7587707258</v>
      </c>
      <c r="R398" s="29" t="n">
        <f aca="false">MAX(R397,Q398)</f>
        <v>14889.7587707258</v>
      </c>
      <c r="S398" s="30" t="n">
        <f aca="false">Q398/R398-1</f>
        <v>0</v>
      </c>
      <c r="T398" s="31" t="n">
        <f aca="false">DATE(YEAR(F398),MONTH(F398),1)</f>
        <v>44166</v>
      </c>
    </row>
    <row r="399" customFormat="false" ht="15" hidden="false" customHeight="true" outlineLevel="0" collapsed="false">
      <c r="A399" s="4" t="n">
        <v>398</v>
      </c>
      <c r="B399" s="4" t="s">
        <v>28</v>
      </c>
      <c r="C399" s="4" t="s">
        <v>53</v>
      </c>
      <c r="D399" s="23" t="n">
        <v>44180.9166666667</v>
      </c>
      <c r="E399" s="23" t="n">
        <v>44185.9791666667</v>
      </c>
      <c r="F399" s="23" t="n">
        <v>44186.0729166667</v>
      </c>
      <c r="G399" s="4" t="n">
        <f aca="false">YEAR(E399)</f>
        <v>2020</v>
      </c>
      <c r="H399" s="4" t="str">
        <f aca="false">IF(E399&lt;DATE(2015,1,1),"2005–2014",IF(E399&lt;DATE(2022,3,5),"2015 – Mar 2022","Mar 2022 – Oct 2026"))</f>
        <v>2015 – Mar 2022</v>
      </c>
      <c r="I399" s="24" t="n">
        <v>138.641</v>
      </c>
      <c r="J399" s="24" t="n">
        <v>138.109</v>
      </c>
      <c r="K399" s="24" t="n">
        <v>141.131</v>
      </c>
      <c r="L399" s="25" t="n">
        <v>4.681</v>
      </c>
      <c r="M399" s="26" t="n">
        <v>53.199</v>
      </c>
      <c r="N399" s="4" t="s">
        <v>34</v>
      </c>
      <c r="O399" s="27" t="n">
        <v>-1.0141</v>
      </c>
      <c r="P399" s="28" t="n">
        <f aca="false">Summary!$C$6*O399</f>
        <v>-0.0050705</v>
      </c>
      <c r="Q399" s="29" t="n">
        <f aca="false">Q398*(1+P399)</f>
        <v>14814.2602488789</v>
      </c>
      <c r="R399" s="29" t="n">
        <f aca="false">MAX(R398,Q399)</f>
        <v>14889.7587707258</v>
      </c>
      <c r="S399" s="30" t="n">
        <f aca="false">Q399/R399-1</f>
        <v>-0.00507049999999998</v>
      </c>
      <c r="T399" s="31" t="n">
        <f aca="false">DATE(YEAR(F399),MONTH(F399),1)</f>
        <v>44166</v>
      </c>
    </row>
    <row r="400" customFormat="false" ht="15" hidden="false" customHeight="true" outlineLevel="0" collapsed="false">
      <c r="A400" s="4" t="n">
        <v>399</v>
      </c>
      <c r="B400" s="4" t="s">
        <v>28</v>
      </c>
      <c r="C400" s="4" t="s">
        <v>54</v>
      </c>
      <c r="D400" s="23" t="n">
        <v>44187.9166666667</v>
      </c>
      <c r="E400" s="23" t="n">
        <v>44188.3333333333</v>
      </c>
      <c r="F400" s="23" t="n">
        <v>44188.5833333333</v>
      </c>
      <c r="G400" s="4" t="n">
        <f aca="false">YEAR(E400)</f>
        <v>2020</v>
      </c>
      <c r="H400" s="4" t="str">
        <f aca="false">IF(E400&lt;DATE(2015,1,1),"2005–2014",IF(E400&lt;DATE(2022,3,5),"2015 – Mar 2022","Mar 2022 – Oct 2026"))</f>
        <v>2015 – Mar 2022</v>
      </c>
      <c r="I400" s="24" t="n">
        <v>138.969</v>
      </c>
      <c r="J400" s="24" t="n">
        <v>139.514</v>
      </c>
      <c r="K400" s="24" t="n">
        <v>137.27</v>
      </c>
      <c r="L400" s="25" t="n">
        <v>3.121</v>
      </c>
      <c r="M400" s="26" t="n">
        <v>54.446</v>
      </c>
      <c r="N400" s="4" t="s">
        <v>34</v>
      </c>
      <c r="O400" s="27" t="n">
        <v>-1.0138</v>
      </c>
      <c r="P400" s="28" t="n">
        <f aca="false">Summary!$C$6*O400</f>
        <v>-0.005069</v>
      </c>
      <c r="Q400" s="29" t="n">
        <f aca="false">Q399*(1+P400)</f>
        <v>14739.1667636773</v>
      </c>
      <c r="R400" s="29" t="n">
        <f aca="false">MAX(R399,Q400)</f>
        <v>14889.7587707258</v>
      </c>
      <c r="S400" s="30" t="n">
        <f aca="false">Q400/R400-1</f>
        <v>-0.0101137976354999</v>
      </c>
      <c r="T400" s="31" t="n">
        <f aca="false">DATE(YEAR(F400),MONTH(F400),1)</f>
        <v>44166</v>
      </c>
    </row>
    <row r="401" customFormat="false" ht="15" hidden="false" customHeight="true" outlineLevel="0" collapsed="false">
      <c r="A401" s="4" t="n">
        <v>400</v>
      </c>
      <c r="B401" s="4" t="s">
        <v>28</v>
      </c>
      <c r="C401" s="4" t="s">
        <v>53</v>
      </c>
      <c r="D401" s="23" t="n">
        <v>44195.9166666667</v>
      </c>
      <c r="E401" s="23" t="n">
        <v>44200.7083333333</v>
      </c>
      <c r="F401" s="23" t="n">
        <v>44202.5833333333</v>
      </c>
      <c r="G401" s="4" t="n">
        <f aca="false">YEAR(E401)</f>
        <v>2021</v>
      </c>
      <c r="H401" s="4" t="str">
        <f aca="false">IF(E401&lt;DATE(2015,1,1),"2005–2014",IF(E401&lt;DATE(2022,3,5),"2015 – Mar 2022","Mar 2022 – Oct 2026"))</f>
        <v>2015 – Mar 2022</v>
      </c>
      <c r="I401" s="24" t="n">
        <v>139.76</v>
      </c>
      <c r="J401" s="24" t="n">
        <v>139.234</v>
      </c>
      <c r="K401" s="24" t="n">
        <v>141.355</v>
      </c>
      <c r="L401" s="25" t="n">
        <v>3.034</v>
      </c>
      <c r="M401" s="26" t="n">
        <v>52.57</v>
      </c>
      <c r="N401" s="4" t="s">
        <v>35</v>
      </c>
      <c r="O401" s="27" t="n">
        <v>0.0428</v>
      </c>
      <c r="P401" s="28" t="n">
        <f aca="false">Summary!$C$6*O401</f>
        <v>0.000214</v>
      </c>
      <c r="Q401" s="29" t="n">
        <f aca="false">Q400*(1+P401)</f>
        <v>14742.3209453647</v>
      </c>
      <c r="R401" s="29" t="n">
        <f aca="false">MAX(R400,Q401)</f>
        <v>14889.7587707258</v>
      </c>
      <c r="S401" s="30" t="n">
        <f aca="false">Q401/R401-1</f>
        <v>-0.00990196198819393</v>
      </c>
      <c r="T401" s="31" t="n">
        <f aca="false">DATE(YEAR(F401),MONTH(F401),1)</f>
        <v>44197</v>
      </c>
    </row>
    <row r="402" customFormat="false" ht="15" hidden="false" customHeight="true" outlineLevel="0" collapsed="false">
      <c r="A402" s="4" t="n">
        <v>401</v>
      </c>
      <c r="B402" s="4" t="s">
        <v>28</v>
      </c>
      <c r="C402" s="4" t="s">
        <v>53</v>
      </c>
      <c r="D402" s="23" t="n">
        <v>44210.9166666667</v>
      </c>
      <c r="E402" s="23" t="n">
        <v>44211.40625</v>
      </c>
      <c r="F402" s="23" t="n">
        <v>44211.6354166667</v>
      </c>
      <c r="G402" s="4" t="n">
        <f aca="false">YEAR(E402)</f>
        <v>2021</v>
      </c>
      <c r="H402" s="4" t="str">
        <f aca="false">IF(E402&lt;DATE(2015,1,1),"2005–2014",IF(E402&lt;DATE(2022,3,5),"2015 – Mar 2022","Mar 2022 – Oct 2026"))</f>
        <v>2015 – Mar 2022</v>
      </c>
      <c r="I402" s="24" t="n">
        <v>141.399</v>
      </c>
      <c r="J402" s="24" t="n">
        <v>140.963</v>
      </c>
      <c r="K402" s="24" t="n">
        <v>142.751</v>
      </c>
      <c r="L402" s="25" t="n">
        <v>3.103</v>
      </c>
      <c r="M402" s="26" t="n">
        <v>43.573</v>
      </c>
      <c r="N402" s="4" t="s">
        <v>34</v>
      </c>
      <c r="O402" s="27" t="n">
        <v>-1.0172</v>
      </c>
      <c r="P402" s="28" t="n">
        <f aca="false">Summary!$C$6*O402</f>
        <v>-0.005086</v>
      </c>
      <c r="Q402" s="29" t="n">
        <f aca="false">Q401*(1+P402)</f>
        <v>14667.3415010366</v>
      </c>
      <c r="R402" s="29" t="n">
        <f aca="false">MAX(R401,Q402)</f>
        <v>14889.7587707258</v>
      </c>
      <c r="S402" s="30" t="n">
        <f aca="false">Q402/R402-1</f>
        <v>-0.0149376006095221</v>
      </c>
      <c r="T402" s="31" t="n">
        <f aca="false">DATE(YEAR(F402),MONTH(F402),1)</f>
        <v>44197</v>
      </c>
    </row>
    <row r="403" customFormat="false" ht="15" hidden="false" customHeight="true" outlineLevel="0" collapsed="false">
      <c r="A403" s="4" t="n">
        <v>402</v>
      </c>
      <c r="B403" s="4" t="s">
        <v>28</v>
      </c>
      <c r="C403" s="4" t="s">
        <v>53</v>
      </c>
      <c r="D403" s="23" t="n">
        <v>44215.9166666667</v>
      </c>
      <c r="E403" s="23" t="n">
        <v>44216.65625</v>
      </c>
      <c r="F403" s="23" t="n">
        <v>44223.7604166667</v>
      </c>
      <c r="G403" s="4" t="n">
        <f aca="false">YEAR(E403)</f>
        <v>2021</v>
      </c>
      <c r="H403" s="4" t="str">
        <f aca="false">IF(E403&lt;DATE(2015,1,1),"2005–2014",IF(E403&lt;DATE(2022,3,5),"2015 – Mar 2022","Mar 2022 – Oct 2026"))</f>
        <v>2015 – Mar 2022</v>
      </c>
      <c r="I403" s="24" t="n">
        <v>141.2</v>
      </c>
      <c r="J403" s="24" t="n">
        <v>140.766</v>
      </c>
      <c r="K403" s="24" t="n">
        <v>142.751</v>
      </c>
      <c r="L403" s="25" t="n">
        <v>3.58</v>
      </c>
      <c r="M403" s="26" t="n">
        <v>43.332</v>
      </c>
      <c r="N403" s="4" t="s">
        <v>33</v>
      </c>
      <c r="O403" s="27" t="n">
        <v>3.5804</v>
      </c>
      <c r="P403" s="28" t="n">
        <f aca="false">Summary!$C$6*O403</f>
        <v>0.017902</v>
      </c>
      <c r="Q403" s="29" t="n">
        <f aca="false">Q402*(1+P403)</f>
        <v>14929.9162485882</v>
      </c>
      <c r="R403" s="29" t="n">
        <f aca="false">MAX(R402,Q403)</f>
        <v>14929.9162485882</v>
      </c>
      <c r="S403" s="30" t="n">
        <f aca="false">Q403/R403-1</f>
        <v>0</v>
      </c>
      <c r="T403" s="31" t="n">
        <f aca="false">DATE(YEAR(F403),MONTH(F403),1)</f>
        <v>44197</v>
      </c>
    </row>
    <row r="404" customFormat="false" ht="15" hidden="false" customHeight="true" outlineLevel="0" collapsed="false">
      <c r="A404" s="4" t="n">
        <v>403</v>
      </c>
      <c r="B404" s="4" t="s">
        <v>27</v>
      </c>
      <c r="C404" s="4" t="s">
        <v>54</v>
      </c>
      <c r="D404" s="23" t="n">
        <v>44321.9166666667</v>
      </c>
      <c r="E404" s="23" t="n">
        <v>44322.2916666667</v>
      </c>
      <c r="F404" s="23" t="n">
        <v>44322.46875</v>
      </c>
      <c r="G404" s="4" t="n">
        <f aca="false">YEAR(E404)</f>
        <v>2021</v>
      </c>
      <c r="H404" s="4" t="str">
        <f aca="false">IF(E404&lt;DATE(2015,1,1),"2005–2014",IF(E404&lt;DATE(2022,3,5),"2015 – Mar 2022","Mar 2022 – Oct 2026"))</f>
        <v>2015 – Mar 2022</v>
      </c>
      <c r="I404" s="24" t="n">
        <v>152.012</v>
      </c>
      <c r="J404" s="24" t="n">
        <v>152.424</v>
      </c>
      <c r="K404" s="24" t="n">
        <v>149.948</v>
      </c>
      <c r="L404" s="25" t="n">
        <v>5.005</v>
      </c>
      <c r="M404" s="26" t="n">
        <v>41.232</v>
      </c>
      <c r="N404" s="4" t="s">
        <v>35</v>
      </c>
      <c r="O404" s="27" t="n">
        <v>-0.0012</v>
      </c>
      <c r="P404" s="28" t="n">
        <f aca="false">Summary!$C$6*O404</f>
        <v>-6E-006</v>
      </c>
      <c r="Q404" s="29" t="n">
        <f aca="false">Q403*(1+P404)</f>
        <v>14929.8266690907</v>
      </c>
      <c r="R404" s="29" t="n">
        <f aca="false">MAX(R403,Q404)</f>
        <v>14929.9162485882</v>
      </c>
      <c r="S404" s="30" t="n">
        <f aca="false">Q404/R404-1</f>
        <v>-5.99999999995049E-006</v>
      </c>
      <c r="T404" s="31" t="n">
        <f aca="false">DATE(YEAR(F404),MONTH(F404),1)</f>
        <v>44317</v>
      </c>
    </row>
    <row r="405" customFormat="false" ht="15" hidden="false" customHeight="true" outlineLevel="0" collapsed="false">
      <c r="A405" s="4" t="n">
        <v>404</v>
      </c>
      <c r="B405" s="4" t="s">
        <v>28</v>
      </c>
      <c r="C405" s="4" t="s">
        <v>54</v>
      </c>
      <c r="D405" s="23" t="n">
        <v>44322.9166666667</v>
      </c>
      <c r="E405" s="23" t="n">
        <v>44323.25</v>
      </c>
      <c r="F405" s="23" t="n">
        <v>44323.6041666667</v>
      </c>
      <c r="G405" s="4" t="n">
        <f aca="false">YEAR(E405)</f>
        <v>2021</v>
      </c>
      <c r="H405" s="4" t="str">
        <f aca="false">IF(E405&lt;DATE(2015,1,1),"2005–2014",IF(E405&lt;DATE(2022,3,5),"2015 – Mar 2022","Mar 2022 – Oct 2026"))</f>
        <v>2015 – Mar 2022</v>
      </c>
      <c r="I405" s="24" t="n">
        <v>151.83</v>
      </c>
      <c r="J405" s="24" t="n">
        <v>152.238</v>
      </c>
      <c r="K405" s="24" t="n">
        <v>149.948</v>
      </c>
      <c r="L405" s="25" t="n">
        <v>4.607</v>
      </c>
      <c r="M405" s="26" t="n">
        <v>40.847</v>
      </c>
      <c r="N405" s="4" t="s">
        <v>35</v>
      </c>
      <c r="O405" s="27" t="n">
        <v>0.0551</v>
      </c>
      <c r="P405" s="28" t="n">
        <f aca="false">Summary!$C$6*O405</f>
        <v>0.0002755</v>
      </c>
      <c r="Q405" s="29" t="n">
        <f aca="false">Q404*(1+P405)</f>
        <v>14933.939836338</v>
      </c>
      <c r="R405" s="29" t="n">
        <f aca="false">MAX(R404,Q405)</f>
        <v>14933.939836338</v>
      </c>
      <c r="S405" s="30" t="n">
        <f aca="false">Q405/R405-1</f>
        <v>0</v>
      </c>
      <c r="T405" s="31" t="n">
        <f aca="false">DATE(YEAR(F405),MONTH(F405),1)</f>
        <v>44317</v>
      </c>
    </row>
    <row r="406" customFormat="false" ht="15" hidden="false" customHeight="true" outlineLevel="0" collapsed="false">
      <c r="A406" s="4" t="n">
        <v>405</v>
      </c>
      <c r="B406" s="4" t="s">
        <v>28</v>
      </c>
      <c r="C406" s="4" t="s">
        <v>54</v>
      </c>
      <c r="D406" s="23" t="n">
        <v>44385.9166666667</v>
      </c>
      <c r="E406" s="23" t="n">
        <v>44386.4479166667</v>
      </c>
      <c r="F406" s="23" t="n">
        <v>44386.53125</v>
      </c>
      <c r="G406" s="4" t="n">
        <f aca="false">YEAR(E406)</f>
        <v>2021</v>
      </c>
      <c r="H406" s="4" t="str">
        <f aca="false">IF(E406&lt;DATE(2015,1,1),"2005–2014",IF(E406&lt;DATE(2022,3,5),"2015 – Mar 2022","Mar 2022 – Oct 2026"))</f>
        <v>2015 – Mar 2022</v>
      </c>
      <c r="I406" s="24" t="n">
        <v>151.857</v>
      </c>
      <c r="J406" s="24" t="n">
        <v>152.299</v>
      </c>
      <c r="K406" s="24" t="n">
        <v>149.952</v>
      </c>
      <c r="L406" s="25" t="n">
        <v>4.308</v>
      </c>
      <c r="M406" s="26" t="n">
        <v>44.22</v>
      </c>
      <c r="N406" s="4" t="s">
        <v>34</v>
      </c>
      <c r="O406" s="27" t="n">
        <v>-1.017</v>
      </c>
      <c r="P406" s="28" t="n">
        <f aca="false">Summary!$C$6*O406</f>
        <v>-0.005085</v>
      </c>
      <c r="Q406" s="29" t="n">
        <f aca="false">Q405*(1+P406)</f>
        <v>14858.0007522702</v>
      </c>
      <c r="R406" s="29" t="n">
        <f aca="false">MAX(R405,Q406)</f>
        <v>14933.939836338</v>
      </c>
      <c r="S406" s="30" t="n">
        <f aca="false">Q406/R406-1</f>
        <v>-0.00508500000000001</v>
      </c>
      <c r="T406" s="31" t="n">
        <f aca="false">DATE(YEAR(F406),MONTH(F406),1)</f>
        <v>44378</v>
      </c>
    </row>
    <row r="407" customFormat="false" ht="15" hidden="false" customHeight="true" outlineLevel="0" collapsed="false">
      <c r="A407" s="4" t="n">
        <v>406</v>
      </c>
      <c r="B407" s="4" t="s">
        <v>28</v>
      </c>
      <c r="C407" s="4" t="s">
        <v>53</v>
      </c>
      <c r="D407" s="23" t="n">
        <v>44386.9166666667</v>
      </c>
      <c r="E407" s="23" t="n">
        <v>44392.1145833333</v>
      </c>
      <c r="F407" s="23" t="n">
        <v>44392.71875</v>
      </c>
      <c r="G407" s="4" t="n">
        <f aca="false">YEAR(E407)</f>
        <v>2021</v>
      </c>
      <c r="H407" s="4" t="str">
        <f aca="false">IF(E407&lt;DATE(2015,1,1),"2005–2014",IF(E407&lt;DATE(2022,3,5),"2015 – Mar 2022","Mar 2022 – Oct 2026"))</f>
        <v>2015 – Mar 2022</v>
      </c>
      <c r="I407" s="24" t="n">
        <v>151.856</v>
      </c>
      <c r="J407" s="24" t="n">
        <v>151.387</v>
      </c>
      <c r="K407" s="24" t="n">
        <v>153.617</v>
      </c>
      <c r="L407" s="25" t="n">
        <v>3.759</v>
      </c>
      <c r="M407" s="26" t="n">
        <v>46.848</v>
      </c>
      <c r="N407" s="4" t="s">
        <v>35</v>
      </c>
      <c r="O407" s="27" t="n">
        <v>0.048</v>
      </c>
      <c r="P407" s="28" t="n">
        <f aca="false">Summary!$C$6*O407</f>
        <v>0.00024</v>
      </c>
      <c r="Q407" s="29" t="n">
        <f aca="false">Q406*(1+P407)</f>
        <v>14861.5666724508</v>
      </c>
      <c r="R407" s="29" t="n">
        <f aca="false">MAX(R406,Q407)</f>
        <v>14933.939836338</v>
      </c>
      <c r="S407" s="30" t="n">
        <f aca="false">Q407/R407-1</f>
        <v>-0.00484622040000005</v>
      </c>
      <c r="T407" s="31" t="n">
        <f aca="false">DATE(YEAR(F407),MONTH(F407),1)</f>
        <v>44378</v>
      </c>
    </row>
    <row r="408" customFormat="false" ht="15" hidden="false" customHeight="true" outlineLevel="0" collapsed="false">
      <c r="A408" s="4" t="n">
        <v>407</v>
      </c>
      <c r="B408" s="4" t="s">
        <v>27</v>
      </c>
      <c r="C408" s="4" t="s">
        <v>53</v>
      </c>
      <c r="D408" s="23" t="n">
        <v>44403.9166666667</v>
      </c>
      <c r="E408" s="23" t="n">
        <v>44404.5208333333</v>
      </c>
      <c r="F408" s="23" t="n">
        <v>44410.59375</v>
      </c>
      <c r="G408" s="4" t="n">
        <f aca="false">YEAR(E408)</f>
        <v>2021</v>
      </c>
      <c r="H408" s="4" t="str">
        <f aca="false">IF(E408&lt;DATE(2015,1,1),"2005–2014",IF(E408&lt;DATE(2022,3,5),"2015 – Mar 2022","Mar 2022 – Oct 2026"))</f>
        <v>2015 – Mar 2022</v>
      </c>
      <c r="I408" s="24" t="n">
        <v>151.937</v>
      </c>
      <c r="J408" s="24" t="n">
        <v>151.434</v>
      </c>
      <c r="K408" s="24" t="n">
        <v>153.613</v>
      </c>
      <c r="L408" s="25" t="n">
        <v>3.328</v>
      </c>
      <c r="M408" s="26" t="n">
        <v>50.346</v>
      </c>
      <c r="N408" s="4" t="s">
        <v>35</v>
      </c>
      <c r="O408" s="27" t="n">
        <v>0.0447</v>
      </c>
      <c r="P408" s="28" t="n">
        <f aca="false">Summary!$C$6*O408</f>
        <v>0.0002235</v>
      </c>
      <c r="Q408" s="29" t="n">
        <f aca="false">Q407*(1+P408)</f>
        <v>14864.8882326021</v>
      </c>
      <c r="R408" s="29" t="n">
        <f aca="false">MAX(R407,Q408)</f>
        <v>14933.939836338</v>
      </c>
      <c r="S408" s="30" t="n">
        <f aca="false">Q408/R408-1</f>
        <v>-0.00462380353025949</v>
      </c>
      <c r="T408" s="31" t="n">
        <f aca="false">DATE(YEAR(F408),MONTH(F408),1)</f>
        <v>44409</v>
      </c>
    </row>
    <row r="409" customFormat="false" ht="15" hidden="false" customHeight="true" outlineLevel="0" collapsed="false">
      <c r="A409" s="4" t="n">
        <v>408</v>
      </c>
      <c r="B409" s="4" t="s">
        <v>28</v>
      </c>
      <c r="C409" s="4" t="s">
        <v>54</v>
      </c>
      <c r="D409" s="23" t="n">
        <v>44410.9166666667</v>
      </c>
      <c r="E409" s="23" t="n">
        <v>44411.4583333333</v>
      </c>
      <c r="F409" s="23" t="n">
        <v>44412.3020833333</v>
      </c>
      <c r="G409" s="4" t="n">
        <f aca="false">YEAR(E409)</f>
        <v>2021</v>
      </c>
      <c r="H409" s="4" t="str">
        <f aca="false">IF(E409&lt;DATE(2015,1,1),"2005–2014",IF(E409&lt;DATE(2022,3,5),"2015 – Mar 2022","Mar 2022 – Oct 2026"))</f>
        <v>2015 – Mar 2022</v>
      </c>
      <c r="I409" s="24" t="n">
        <v>152.181</v>
      </c>
      <c r="J409" s="24" t="n">
        <v>152.653</v>
      </c>
      <c r="K409" s="24" t="n">
        <v>149.956</v>
      </c>
      <c r="L409" s="25" t="n">
        <v>4.713</v>
      </c>
      <c r="M409" s="26" t="n">
        <v>47.215</v>
      </c>
      <c r="N409" s="4" t="s">
        <v>35</v>
      </c>
      <c r="O409" s="27" t="n">
        <v>0.0477</v>
      </c>
      <c r="P409" s="28" t="n">
        <f aca="false">Summary!$C$6*O409</f>
        <v>0.0002385</v>
      </c>
      <c r="Q409" s="29" t="n">
        <f aca="false">Q408*(1+P409)</f>
        <v>14868.4335084455</v>
      </c>
      <c r="R409" s="29" t="n">
        <f aca="false">MAX(R408,Q409)</f>
        <v>14933.939836338</v>
      </c>
      <c r="S409" s="30" t="n">
        <f aca="false">Q409/R409-1</f>
        <v>-0.00438640630740139</v>
      </c>
      <c r="T409" s="31" t="n">
        <f aca="false">DATE(YEAR(F409),MONTH(F409),1)</f>
        <v>44409</v>
      </c>
    </row>
    <row r="410" customFormat="false" ht="15" hidden="false" customHeight="true" outlineLevel="0" collapsed="false">
      <c r="A410" s="4" t="n">
        <v>409</v>
      </c>
      <c r="B410" s="4" t="s">
        <v>27</v>
      </c>
      <c r="C410" s="4" t="s">
        <v>54</v>
      </c>
      <c r="D410" s="23" t="n">
        <v>44412.9166666667</v>
      </c>
      <c r="E410" s="23" t="n">
        <v>44413.28125</v>
      </c>
      <c r="F410" s="23" t="n">
        <v>44413.5833333333</v>
      </c>
      <c r="G410" s="4" t="n">
        <f aca="false">YEAR(E410)</f>
        <v>2021</v>
      </c>
      <c r="H410" s="4" t="str">
        <f aca="false">IF(E410&lt;DATE(2015,1,1),"2005–2014",IF(E410&lt;DATE(2022,3,5),"2015 – Mar 2022","Mar 2022 – Oct 2026"))</f>
        <v>2015 – Mar 2022</v>
      </c>
      <c r="I410" s="24" t="n">
        <v>152.326</v>
      </c>
      <c r="J410" s="24" t="n">
        <v>152.79</v>
      </c>
      <c r="K410" s="24" t="n">
        <v>149.955</v>
      </c>
      <c r="L410" s="25" t="n">
        <v>5.106</v>
      </c>
      <c r="M410" s="26" t="n">
        <v>46.44</v>
      </c>
      <c r="N410" s="4" t="s">
        <v>34</v>
      </c>
      <c r="O410" s="27" t="n">
        <v>-1.0161</v>
      </c>
      <c r="P410" s="28" t="n">
        <f aca="false">Summary!$C$6*O410</f>
        <v>-0.0050805</v>
      </c>
      <c r="Q410" s="29" t="n">
        <f aca="false">Q409*(1+P410)</f>
        <v>14792.8944320059</v>
      </c>
      <c r="R410" s="29" t="n">
        <f aca="false">MAX(R409,Q410)</f>
        <v>14933.939836338</v>
      </c>
      <c r="S410" s="30" t="n">
        <f aca="false">Q410/R410-1</f>
        <v>-0.00944462117015665</v>
      </c>
      <c r="T410" s="31" t="n">
        <f aca="false">DATE(YEAR(F410),MONTH(F410),1)</f>
        <v>44409</v>
      </c>
    </row>
    <row r="411" customFormat="false" ht="15" hidden="false" customHeight="true" outlineLevel="0" collapsed="false">
      <c r="A411" s="4" t="n">
        <v>410</v>
      </c>
      <c r="B411" s="4" t="s">
        <v>28</v>
      </c>
      <c r="C411" s="4" t="s">
        <v>54</v>
      </c>
      <c r="D411" s="23" t="n">
        <v>44434.9166666667</v>
      </c>
      <c r="E411" s="23" t="n">
        <v>44435.5104166667</v>
      </c>
      <c r="F411" s="23" t="n">
        <v>44440.2708333333</v>
      </c>
      <c r="G411" s="4" t="n">
        <f aca="false">YEAR(E411)</f>
        <v>2021</v>
      </c>
      <c r="H411" s="4" t="str">
        <f aca="false">IF(E411&lt;DATE(2015,1,1),"2005–2014",IF(E411&lt;DATE(2022,3,5),"2015 – Mar 2022","Mar 2022 – Oct 2026"))</f>
        <v>2015 – Mar 2022</v>
      </c>
      <c r="I411" s="24" t="n">
        <v>151.257</v>
      </c>
      <c r="J411" s="24" t="n">
        <v>151.672</v>
      </c>
      <c r="K411" s="24" t="n">
        <v>149.949</v>
      </c>
      <c r="L411" s="25" t="n">
        <v>3.158</v>
      </c>
      <c r="M411" s="26" t="n">
        <v>41.44</v>
      </c>
      <c r="N411" s="4" t="s">
        <v>34</v>
      </c>
      <c r="O411" s="27" t="n">
        <v>-1.0181</v>
      </c>
      <c r="P411" s="28" t="n">
        <f aca="false">Summary!$C$6*O411</f>
        <v>-0.0050905</v>
      </c>
      <c r="Q411" s="29" t="n">
        <f aca="false">Q410*(1+P411)</f>
        <v>14717.5912028998</v>
      </c>
      <c r="R411" s="29" t="n">
        <f aca="false">MAX(R410,Q411)</f>
        <v>14933.939836338</v>
      </c>
      <c r="S411" s="30" t="n">
        <f aca="false">Q411/R411-1</f>
        <v>-0.0144870433260901</v>
      </c>
      <c r="T411" s="31" t="n">
        <f aca="false">DATE(YEAR(F411),MONTH(F411),1)</f>
        <v>44440</v>
      </c>
    </row>
    <row r="412" customFormat="false" ht="15" hidden="false" customHeight="true" outlineLevel="0" collapsed="false">
      <c r="A412" s="4" t="n">
        <v>411</v>
      </c>
      <c r="B412" s="4" t="s">
        <v>27</v>
      </c>
      <c r="C412" s="4" t="s">
        <v>54</v>
      </c>
      <c r="D412" s="23" t="n">
        <v>44440.9166666667</v>
      </c>
      <c r="E412" s="23" t="n">
        <v>44441.1666666667</v>
      </c>
      <c r="F412" s="23" t="n">
        <v>44441.5729166667</v>
      </c>
      <c r="G412" s="4" t="n">
        <f aca="false">YEAR(E412)</f>
        <v>2021</v>
      </c>
      <c r="H412" s="4" t="str">
        <f aca="false">IF(E412&lt;DATE(2015,1,1),"2005–2014",IF(E412&lt;DATE(2022,3,5),"2015 – Mar 2022","Mar 2022 – Oct 2026"))</f>
        <v>2015 – Mar 2022</v>
      </c>
      <c r="I412" s="24" t="n">
        <v>151.529</v>
      </c>
      <c r="J412" s="24" t="n">
        <v>151.906</v>
      </c>
      <c r="K412" s="24" t="n">
        <v>149.944</v>
      </c>
      <c r="L412" s="25" t="n">
        <v>4.204</v>
      </c>
      <c r="M412" s="26" t="n">
        <v>37.701</v>
      </c>
      <c r="N412" s="4" t="s">
        <v>34</v>
      </c>
      <c r="O412" s="27" t="n">
        <v>-1.0199</v>
      </c>
      <c r="P412" s="28" t="n">
        <f aca="false">Summary!$C$6*O412</f>
        <v>-0.0050995</v>
      </c>
      <c r="Q412" s="29" t="n">
        <f aca="false">Q411*(1+P412)</f>
        <v>14642.5388465606</v>
      </c>
      <c r="R412" s="29" t="n">
        <f aca="false">MAX(R411,Q412)</f>
        <v>14933.939836338</v>
      </c>
      <c r="S412" s="30" t="n">
        <f aca="false">Q412/R412-1</f>
        <v>-0.0195126666486486</v>
      </c>
      <c r="T412" s="31" t="n">
        <f aca="false">DATE(YEAR(F412),MONTH(F412),1)</f>
        <v>44440</v>
      </c>
    </row>
    <row r="413" customFormat="false" ht="15" hidden="false" customHeight="true" outlineLevel="0" collapsed="false">
      <c r="A413" s="4" t="n">
        <v>412</v>
      </c>
      <c r="B413" s="4" t="s">
        <v>27</v>
      </c>
      <c r="C413" s="4" t="s">
        <v>54</v>
      </c>
      <c r="D413" s="23" t="n">
        <v>44448.9166666667</v>
      </c>
      <c r="E413" s="23" t="n">
        <v>44449.0625</v>
      </c>
      <c r="F413" s="23" t="n">
        <v>44449.15625</v>
      </c>
      <c r="G413" s="4" t="n">
        <f aca="false">YEAR(E413)</f>
        <v>2021</v>
      </c>
      <c r="H413" s="4" t="str">
        <f aca="false">IF(E413&lt;DATE(2015,1,1),"2005–2014",IF(E413&lt;DATE(2022,3,5),"2015 – Mar 2022","Mar 2022 – Oct 2026"))</f>
        <v>2015 – Mar 2022</v>
      </c>
      <c r="I413" s="24" t="n">
        <v>151.858</v>
      </c>
      <c r="J413" s="24" t="n">
        <v>152.196</v>
      </c>
      <c r="K413" s="24" t="n">
        <v>149.939</v>
      </c>
      <c r="L413" s="25" t="n">
        <v>5.68</v>
      </c>
      <c r="M413" s="26" t="n">
        <v>33.781</v>
      </c>
      <c r="N413" s="4" t="s">
        <v>34</v>
      </c>
      <c r="O413" s="27" t="n">
        <v>-1.0222</v>
      </c>
      <c r="P413" s="28" t="n">
        <f aca="false">Summary!$C$6*O413</f>
        <v>-0.005111</v>
      </c>
      <c r="Q413" s="29" t="n">
        <f aca="false">Q412*(1+P413)</f>
        <v>14567.7008305158</v>
      </c>
      <c r="R413" s="29" t="n">
        <f aca="false">MAX(R412,Q413)</f>
        <v>14933.939836338</v>
      </c>
      <c r="S413" s="30" t="n">
        <f aca="false">Q413/R413-1</f>
        <v>-0.0245239374094073</v>
      </c>
      <c r="T413" s="31" t="n">
        <f aca="false">DATE(YEAR(F413),MONTH(F413),1)</f>
        <v>44440</v>
      </c>
    </row>
    <row r="414" customFormat="false" ht="15" hidden="false" customHeight="true" outlineLevel="0" collapsed="false">
      <c r="A414" s="4" t="n">
        <v>413</v>
      </c>
      <c r="B414" s="4" t="s">
        <v>28</v>
      </c>
      <c r="C414" s="4" t="s">
        <v>54</v>
      </c>
      <c r="D414" s="23" t="n">
        <v>44453.9166666667</v>
      </c>
      <c r="E414" s="23" t="n">
        <v>44456.5416666667</v>
      </c>
      <c r="F414" s="23" t="n">
        <v>44459.34375</v>
      </c>
      <c r="G414" s="4" t="n">
        <f aca="false">YEAR(E414)</f>
        <v>2021</v>
      </c>
      <c r="H414" s="4" t="str">
        <f aca="false">IF(E414&lt;DATE(2015,1,1),"2005–2014",IF(E414&lt;DATE(2022,3,5),"2015 – Mar 2022","Mar 2022 – Oct 2026"))</f>
        <v>2015 – Mar 2022</v>
      </c>
      <c r="I414" s="24" t="n">
        <v>151.908</v>
      </c>
      <c r="J414" s="24" t="n">
        <v>152.256</v>
      </c>
      <c r="K414" s="24" t="n">
        <v>149.94</v>
      </c>
      <c r="L414" s="25" t="n">
        <v>5.655</v>
      </c>
      <c r="M414" s="26" t="n">
        <v>34.795</v>
      </c>
      <c r="N414" s="4" t="s">
        <v>33</v>
      </c>
      <c r="O414" s="27" t="n">
        <v>5.6549</v>
      </c>
      <c r="P414" s="28" t="n">
        <f aca="false">Summary!$C$6*O414</f>
        <v>0.0282745</v>
      </c>
      <c r="Q414" s="29" t="n">
        <f aca="false">Q413*(1+P414)</f>
        <v>14979.5952876482</v>
      </c>
      <c r="R414" s="29" t="n">
        <f aca="false">MAX(R413,Q414)</f>
        <v>14979.5952876482</v>
      </c>
      <c r="S414" s="30" t="n">
        <f aca="false">Q414/R414-1</f>
        <v>0</v>
      </c>
      <c r="T414" s="31" t="n">
        <f aca="false">DATE(YEAR(F414),MONTH(F414),1)</f>
        <v>44440</v>
      </c>
    </row>
    <row r="415" customFormat="false" ht="15" hidden="false" customHeight="true" outlineLevel="0" collapsed="false">
      <c r="A415" s="4" t="n">
        <v>414</v>
      </c>
      <c r="B415" s="4" t="s">
        <v>28</v>
      </c>
      <c r="C415" s="4" t="s">
        <v>53</v>
      </c>
      <c r="D415" s="23" t="n">
        <v>44466.9166666667</v>
      </c>
      <c r="E415" s="23" t="n">
        <v>44467.5208333333</v>
      </c>
      <c r="F415" s="23" t="n">
        <v>44467.5833333333</v>
      </c>
      <c r="G415" s="4" t="n">
        <f aca="false">YEAR(E415)</f>
        <v>2021</v>
      </c>
      <c r="H415" s="4" t="str">
        <f aca="false">IF(E415&lt;DATE(2015,1,1),"2005–2014",IF(E415&lt;DATE(2022,3,5),"2015 – Mar 2022","Mar 2022 – Oct 2026"))</f>
        <v>2015 – Mar 2022</v>
      </c>
      <c r="I415" s="24" t="n">
        <v>151.219</v>
      </c>
      <c r="J415" s="24" t="n">
        <v>150.809</v>
      </c>
      <c r="K415" s="24" t="n">
        <v>152.843</v>
      </c>
      <c r="L415" s="25" t="n">
        <v>3.965</v>
      </c>
      <c r="M415" s="26" t="n">
        <v>40.964</v>
      </c>
      <c r="N415" s="4" t="s">
        <v>34</v>
      </c>
      <c r="O415" s="27" t="n">
        <v>-1.0183</v>
      </c>
      <c r="P415" s="28" t="n">
        <f aca="false">Summary!$C$6*O415</f>
        <v>-0.0050915</v>
      </c>
      <c r="Q415" s="29" t="n">
        <f aca="false">Q414*(1+P415)</f>
        <v>14903.3266782412</v>
      </c>
      <c r="R415" s="29" t="n">
        <f aca="false">MAX(R414,Q415)</f>
        <v>14979.5952876482</v>
      </c>
      <c r="S415" s="30" t="n">
        <f aca="false">Q415/R415-1</f>
        <v>-0.00509150000000003</v>
      </c>
      <c r="T415" s="31" t="n">
        <f aca="false">DATE(YEAR(F415),MONTH(F415),1)</f>
        <v>44440</v>
      </c>
    </row>
    <row r="416" customFormat="false" ht="15" hidden="false" customHeight="true" outlineLevel="0" collapsed="false">
      <c r="A416" s="4" t="n">
        <v>415</v>
      </c>
      <c r="B416" s="4" t="s">
        <v>28</v>
      </c>
      <c r="C416" s="4" t="s">
        <v>53</v>
      </c>
      <c r="D416" s="23" t="n">
        <v>44474.9166666667</v>
      </c>
      <c r="E416" s="23" t="n">
        <v>44475.4166666667</v>
      </c>
      <c r="F416" s="23" t="n">
        <v>44477.6145833333</v>
      </c>
      <c r="G416" s="4" t="n">
        <f aca="false">YEAR(E416)</f>
        <v>2021</v>
      </c>
      <c r="H416" s="4" t="str">
        <f aca="false">IF(E416&lt;DATE(2015,1,1),"2005–2014",IF(E416&lt;DATE(2022,3,5),"2015 – Mar 2022","Mar 2022 – Oct 2026"))</f>
        <v>2015 – Mar 2022</v>
      </c>
      <c r="I416" s="24" t="n">
        <v>151.058</v>
      </c>
      <c r="J416" s="24" t="n">
        <v>150.588</v>
      </c>
      <c r="K416" s="24" t="n">
        <v>152.836</v>
      </c>
      <c r="L416" s="25" t="n">
        <v>3.778</v>
      </c>
      <c r="M416" s="26" t="n">
        <v>47.044</v>
      </c>
      <c r="N416" s="4" t="s">
        <v>33</v>
      </c>
      <c r="O416" s="27" t="n">
        <v>3.7776</v>
      </c>
      <c r="P416" s="28" t="n">
        <f aca="false">Summary!$C$6*O416</f>
        <v>0.018888</v>
      </c>
      <c r="Q416" s="29" t="n">
        <f aca="false">Q415*(1+P416)</f>
        <v>15184.8207125398</v>
      </c>
      <c r="R416" s="29" t="n">
        <f aca="false">MAX(R415,Q416)</f>
        <v>15184.8207125398</v>
      </c>
      <c r="S416" s="30" t="n">
        <f aca="false">Q416/R416-1</f>
        <v>0</v>
      </c>
      <c r="T416" s="31" t="n">
        <f aca="false">DATE(YEAR(F416),MONTH(F416),1)</f>
        <v>44470</v>
      </c>
    </row>
    <row r="417" customFormat="false" ht="15" hidden="false" customHeight="true" outlineLevel="0" collapsed="false">
      <c r="A417" s="4" t="n">
        <v>416</v>
      </c>
      <c r="B417" s="4" t="s">
        <v>27</v>
      </c>
      <c r="C417" s="4" t="s">
        <v>53</v>
      </c>
      <c r="D417" s="23" t="n">
        <v>44502.9166666667</v>
      </c>
      <c r="E417" s="23" t="n">
        <v>44503.0833333333</v>
      </c>
      <c r="F417" s="23" t="n">
        <v>44504.4166666667</v>
      </c>
      <c r="G417" s="4" t="n">
        <f aca="false">YEAR(E417)</f>
        <v>2021</v>
      </c>
      <c r="H417" s="4" t="str">
        <f aca="false">IF(E417&lt;DATE(2015,1,1),"2005–2014",IF(E417&lt;DATE(2022,3,5),"2015 – Mar 2022","Mar 2022 – Oct 2026"))</f>
        <v>2015 – Mar 2022</v>
      </c>
      <c r="I417" s="24" t="n">
        <v>155.201</v>
      </c>
      <c r="J417" s="24" t="n">
        <v>154.712</v>
      </c>
      <c r="K417" s="24" t="n">
        <v>158.024</v>
      </c>
      <c r="L417" s="25" t="n">
        <v>5.776</v>
      </c>
      <c r="M417" s="26" t="n">
        <v>48.884</v>
      </c>
      <c r="N417" s="4" t="s">
        <v>35</v>
      </c>
      <c r="O417" s="27" t="n">
        <v>0.046</v>
      </c>
      <c r="P417" s="28" t="n">
        <f aca="false">Summary!$C$6*O417</f>
        <v>0.00023</v>
      </c>
      <c r="Q417" s="29" t="n">
        <f aca="false">Q416*(1+P417)</f>
        <v>15188.3132213037</v>
      </c>
      <c r="R417" s="29" t="n">
        <f aca="false">MAX(R416,Q417)</f>
        <v>15188.3132213037</v>
      </c>
      <c r="S417" s="30" t="n">
        <f aca="false">Q417/R417-1</f>
        <v>0</v>
      </c>
      <c r="T417" s="31" t="n">
        <f aca="false">DATE(YEAR(F417),MONTH(F417),1)</f>
        <v>44501</v>
      </c>
    </row>
    <row r="418" customFormat="false" ht="15" hidden="false" customHeight="true" outlineLevel="0" collapsed="false">
      <c r="A418" s="4" t="n">
        <v>417</v>
      </c>
      <c r="B418" s="4" t="s">
        <v>27</v>
      </c>
      <c r="C418" s="4" t="s">
        <v>54</v>
      </c>
      <c r="D418" s="23" t="n">
        <v>44511.9166666667</v>
      </c>
      <c r="E418" s="23" t="n">
        <v>44512.3541666667</v>
      </c>
      <c r="F418" s="23" t="n">
        <v>44515.2916666667</v>
      </c>
      <c r="G418" s="4" t="n">
        <f aca="false">YEAR(E418)</f>
        <v>2021</v>
      </c>
      <c r="H418" s="4" t="str">
        <f aca="false">IF(E418&lt;DATE(2015,1,1),"2005–2014",IF(E418&lt;DATE(2022,3,5),"2015 – Mar 2022","Mar 2022 – Oct 2026"))</f>
        <v>2015 – Mar 2022</v>
      </c>
      <c r="I418" s="24" t="n">
        <v>152.63</v>
      </c>
      <c r="J418" s="24" t="n">
        <v>153.121</v>
      </c>
      <c r="K418" s="24" t="n">
        <v>151.091</v>
      </c>
      <c r="L418" s="25" t="n">
        <v>3.135</v>
      </c>
      <c r="M418" s="26" t="n">
        <v>49.094</v>
      </c>
      <c r="N418" s="4" t="s">
        <v>34</v>
      </c>
      <c r="O418" s="27" t="n">
        <v>-1.0153</v>
      </c>
      <c r="P418" s="28" t="n">
        <f aca="false">Summary!$C$6*O418</f>
        <v>-0.0050765</v>
      </c>
      <c r="Q418" s="29" t="n">
        <f aca="false">Q417*(1+P418)</f>
        <v>15111.2097492357</v>
      </c>
      <c r="R418" s="29" t="n">
        <f aca="false">MAX(R417,Q418)</f>
        <v>15188.3132213037</v>
      </c>
      <c r="S418" s="30" t="n">
        <f aca="false">Q418/R418-1</f>
        <v>-0.00507650000000004</v>
      </c>
      <c r="T418" s="31" t="n">
        <f aca="false">DATE(YEAR(F418),MONTH(F418),1)</f>
        <v>44501</v>
      </c>
    </row>
    <row r="419" customFormat="false" ht="15" hidden="false" customHeight="true" outlineLevel="0" collapsed="false">
      <c r="A419" s="4" t="n">
        <v>418</v>
      </c>
      <c r="B419" s="4" t="s">
        <v>28</v>
      </c>
      <c r="C419" s="4" t="s">
        <v>54</v>
      </c>
      <c r="D419" s="23" t="n">
        <v>44533.9166666667</v>
      </c>
      <c r="E419" s="23" t="n">
        <v>44536.34375</v>
      </c>
      <c r="F419" s="23" t="n">
        <v>44536.75</v>
      </c>
      <c r="G419" s="4" t="n">
        <f aca="false">YEAR(E419)</f>
        <v>2021</v>
      </c>
      <c r="H419" s="4" t="str">
        <f aca="false">IF(E419&lt;DATE(2015,1,1),"2005–2014",IF(E419&lt;DATE(2022,3,5),"2015 – Mar 2022","Mar 2022 – Oct 2026"))</f>
        <v>2015 – Mar 2022</v>
      </c>
      <c r="I419" s="24" t="n">
        <v>149.894</v>
      </c>
      <c r="J419" s="24" t="n">
        <v>150.431</v>
      </c>
      <c r="K419" s="24" t="n">
        <v>144.84</v>
      </c>
      <c r="L419" s="25" t="n">
        <v>9.404</v>
      </c>
      <c r="M419" s="26" t="n">
        <v>53.744</v>
      </c>
      <c r="N419" s="4" t="s">
        <v>34</v>
      </c>
      <c r="O419" s="27" t="n">
        <v>-1.014</v>
      </c>
      <c r="P419" s="28" t="n">
        <f aca="false">Summary!$C$6*O419</f>
        <v>-0.00507</v>
      </c>
      <c r="Q419" s="29" t="n">
        <f aca="false">Q418*(1+P419)</f>
        <v>15034.5959158071</v>
      </c>
      <c r="R419" s="29" t="n">
        <f aca="false">MAX(R418,Q419)</f>
        <v>15188.3132213037</v>
      </c>
      <c r="S419" s="30" t="n">
        <f aca="false">Q419/R419-1</f>
        <v>-0.0101207621450001</v>
      </c>
      <c r="T419" s="31" t="n">
        <f aca="false">DATE(YEAR(F419),MONTH(F419),1)</f>
        <v>44531</v>
      </c>
    </row>
    <row r="420" customFormat="false" ht="15" hidden="false" customHeight="true" outlineLevel="0" collapsed="false">
      <c r="A420" s="4" t="n">
        <v>419</v>
      </c>
      <c r="B420" s="4" t="s">
        <v>27</v>
      </c>
      <c r="C420" s="4" t="s">
        <v>53</v>
      </c>
      <c r="D420" s="23" t="n">
        <v>44539.9166666667</v>
      </c>
      <c r="E420" s="23" t="n">
        <v>44540.2083333333</v>
      </c>
      <c r="F420" s="23" t="n">
        <v>44543.6666666667</v>
      </c>
      <c r="G420" s="4" t="n">
        <f aca="false">YEAR(E420)</f>
        <v>2021</v>
      </c>
      <c r="H420" s="4" t="str">
        <f aca="false">IF(E420&lt;DATE(2015,1,1),"2005–2014",IF(E420&lt;DATE(2022,3,5),"2015 – Mar 2022","Mar 2022 – Oct 2026"))</f>
        <v>2015 – Mar 2022</v>
      </c>
      <c r="I420" s="24" t="n">
        <v>150.072</v>
      </c>
      <c r="J420" s="24" t="n">
        <v>149.554</v>
      </c>
      <c r="K420" s="24" t="n">
        <v>151.66</v>
      </c>
      <c r="L420" s="25" t="n">
        <v>3.064</v>
      </c>
      <c r="M420" s="26" t="n">
        <v>51.827</v>
      </c>
      <c r="N420" s="4" t="s">
        <v>35</v>
      </c>
      <c r="O420" s="27" t="n">
        <v>0.0434</v>
      </c>
      <c r="P420" s="28" t="n">
        <f aca="false">Summary!$C$6*O420</f>
        <v>0.000217</v>
      </c>
      <c r="Q420" s="29" t="n">
        <f aca="false">Q419*(1+P420)</f>
        <v>15037.8584231208</v>
      </c>
      <c r="R420" s="29" t="n">
        <f aca="false">MAX(R419,Q420)</f>
        <v>15188.3132213037</v>
      </c>
      <c r="S420" s="30" t="n">
        <f aca="false">Q420/R420-1</f>
        <v>-0.00990595835038566</v>
      </c>
      <c r="T420" s="31" t="n">
        <f aca="false">DATE(YEAR(F420),MONTH(F420),1)</f>
        <v>44531</v>
      </c>
    </row>
    <row r="421" customFormat="false" ht="15" hidden="false" customHeight="true" outlineLevel="0" collapsed="false">
      <c r="A421" s="4" t="n">
        <v>420</v>
      </c>
      <c r="B421" s="4" t="s">
        <v>27</v>
      </c>
      <c r="C421" s="4" t="s">
        <v>54</v>
      </c>
      <c r="D421" s="23" t="n">
        <v>44546.9166666667</v>
      </c>
      <c r="E421" s="23" t="n">
        <v>44547.1354166667</v>
      </c>
      <c r="F421" s="23" t="n">
        <v>44550.3020833333</v>
      </c>
      <c r="G421" s="4" t="n">
        <f aca="false">YEAR(E421)</f>
        <v>2021</v>
      </c>
      <c r="H421" s="4" t="str">
        <f aca="false">IF(E421&lt;DATE(2015,1,1),"2005–2014",IF(E421&lt;DATE(2022,3,5),"2015 – Mar 2022","Mar 2022 – Oct 2026"))</f>
        <v>2015 – Mar 2022</v>
      </c>
      <c r="I421" s="24" t="n">
        <v>151.361</v>
      </c>
      <c r="J421" s="24" t="n">
        <v>151.852</v>
      </c>
      <c r="K421" s="24" t="n">
        <v>149.765</v>
      </c>
      <c r="L421" s="25" t="n">
        <v>3.253</v>
      </c>
      <c r="M421" s="26" t="n">
        <v>49.064</v>
      </c>
      <c r="N421" s="4" t="s">
        <v>33</v>
      </c>
      <c r="O421" s="27" t="n">
        <v>3.2532</v>
      </c>
      <c r="P421" s="28" t="n">
        <f aca="false">Summary!$C$6*O421</f>
        <v>0.016266</v>
      </c>
      <c r="Q421" s="29" t="n">
        <f aca="false">Q420*(1+P421)</f>
        <v>15282.4642282313</v>
      </c>
      <c r="R421" s="29" t="n">
        <f aca="false">MAX(R420,Q421)</f>
        <v>15282.4642282313</v>
      </c>
      <c r="S421" s="30" t="n">
        <f aca="false">Q421/R421-1</f>
        <v>0</v>
      </c>
      <c r="T421" s="31" t="n">
        <f aca="false">DATE(YEAR(F421),MONTH(F421),1)</f>
        <v>44531</v>
      </c>
    </row>
    <row r="422" customFormat="false" ht="15" hidden="false" customHeight="true" outlineLevel="0" collapsed="false">
      <c r="A422" s="4" t="n">
        <v>421</v>
      </c>
      <c r="B422" s="4" t="s">
        <v>27</v>
      </c>
      <c r="C422" s="4" t="s">
        <v>53</v>
      </c>
      <c r="D422" s="23" t="n">
        <v>44550.9166666667</v>
      </c>
      <c r="E422" s="23" t="n">
        <v>44551.0833333333</v>
      </c>
      <c r="F422" s="23" t="n">
        <v>44552.34375</v>
      </c>
      <c r="G422" s="4" t="n">
        <f aca="false">YEAR(E422)</f>
        <v>2021</v>
      </c>
      <c r="H422" s="4" t="str">
        <f aca="false">IF(E422&lt;DATE(2015,1,1),"2005–2014",IF(E422&lt;DATE(2022,3,5),"2015 – Mar 2022","Mar 2022 – Oct 2026"))</f>
        <v>2015 – Mar 2022</v>
      </c>
      <c r="I422" s="24" t="n">
        <v>150.164</v>
      </c>
      <c r="J422" s="24" t="n">
        <v>149.675</v>
      </c>
      <c r="K422" s="24" t="n">
        <v>151.663</v>
      </c>
      <c r="L422" s="25" t="n">
        <v>3.068</v>
      </c>
      <c r="M422" s="26" t="n">
        <v>48.871</v>
      </c>
      <c r="N422" s="4" t="s">
        <v>33</v>
      </c>
      <c r="O422" s="27" t="n">
        <v>3.0681</v>
      </c>
      <c r="P422" s="28" t="n">
        <f aca="false">Summary!$C$6*O422</f>
        <v>0.0153405</v>
      </c>
      <c r="Q422" s="29" t="n">
        <f aca="false">Q421*(1+P422)</f>
        <v>15516.9048707245</v>
      </c>
      <c r="R422" s="29" t="n">
        <f aca="false">MAX(R421,Q422)</f>
        <v>15516.9048707245</v>
      </c>
      <c r="S422" s="30" t="n">
        <f aca="false">Q422/R422-1</f>
        <v>0</v>
      </c>
      <c r="T422" s="31" t="n">
        <f aca="false">DATE(YEAR(F422),MONTH(F422),1)</f>
        <v>44531</v>
      </c>
    </row>
    <row r="423" customFormat="false" ht="15" hidden="false" customHeight="true" outlineLevel="0" collapsed="false">
      <c r="A423" s="4" t="n">
        <v>422</v>
      </c>
      <c r="B423" s="4" t="s">
        <v>27</v>
      </c>
      <c r="C423" s="4" t="s">
        <v>53</v>
      </c>
      <c r="D423" s="23" t="n">
        <v>44617.9166666667</v>
      </c>
      <c r="E423" s="23" t="n">
        <v>44620.2604166667</v>
      </c>
      <c r="F423" s="23" t="n">
        <v>44620.6666666667</v>
      </c>
      <c r="G423" s="4" t="n">
        <f aca="false">YEAR(E423)</f>
        <v>2022</v>
      </c>
      <c r="H423" s="4" t="str">
        <f aca="false">IF(E423&lt;DATE(2015,1,1),"2005–2014",IF(E423&lt;DATE(2022,3,5),"2015 – Mar 2022","Mar 2022 – Oct 2026"))</f>
        <v>2015 – Mar 2022</v>
      </c>
      <c r="I423" s="24" t="n">
        <v>154.358</v>
      </c>
      <c r="J423" s="24" t="n">
        <v>153.877</v>
      </c>
      <c r="K423" s="24" t="n">
        <v>155.926</v>
      </c>
      <c r="L423" s="25" t="n">
        <v>3.257</v>
      </c>
      <c r="M423" s="26" t="n">
        <v>48.145</v>
      </c>
      <c r="N423" s="4" t="s">
        <v>35</v>
      </c>
      <c r="O423" s="27" t="n">
        <v>0.0467</v>
      </c>
      <c r="P423" s="28" t="n">
        <f aca="false">Summary!$C$6*O423</f>
        <v>0.0002335</v>
      </c>
      <c r="Q423" s="29" t="n">
        <f aca="false">Q422*(1+P423)</f>
        <v>15520.5280680118</v>
      </c>
      <c r="R423" s="29" t="n">
        <f aca="false">MAX(R422,Q423)</f>
        <v>15520.5280680118</v>
      </c>
      <c r="S423" s="30" t="n">
        <f aca="false">Q423/R423-1</f>
        <v>0</v>
      </c>
      <c r="T423" s="31" t="n">
        <f aca="false">DATE(YEAR(F423),MONTH(F423),1)</f>
        <v>44593</v>
      </c>
    </row>
    <row r="424" customFormat="false" ht="15" hidden="false" customHeight="true" outlineLevel="0" collapsed="false">
      <c r="A424" s="4" t="n">
        <v>423</v>
      </c>
      <c r="B424" s="4" t="s">
        <v>28</v>
      </c>
      <c r="C424" s="4" t="s">
        <v>54</v>
      </c>
      <c r="D424" s="23" t="n">
        <v>44621.9166666667</v>
      </c>
      <c r="E424" s="23" t="n">
        <v>44622.5729166667</v>
      </c>
      <c r="F424" s="23" t="n">
        <v>44622.6875</v>
      </c>
      <c r="G424" s="4" t="n">
        <f aca="false">YEAR(E424)</f>
        <v>2022</v>
      </c>
      <c r="H424" s="4" t="str">
        <f aca="false">IF(E424&lt;DATE(2015,1,1),"2005–2014",IF(E424&lt;DATE(2022,3,5),"2015 – Mar 2022","Mar 2022 – Oct 2026"))</f>
        <v>2015 – Mar 2022</v>
      </c>
      <c r="I424" s="24" t="n">
        <v>153.912</v>
      </c>
      <c r="J424" s="24" t="n">
        <v>154.418</v>
      </c>
      <c r="K424" s="24" t="n">
        <v>152.308</v>
      </c>
      <c r="L424" s="25" t="n">
        <v>3.169</v>
      </c>
      <c r="M424" s="26" t="n">
        <v>50.625</v>
      </c>
      <c r="N424" s="4" t="s">
        <v>34</v>
      </c>
      <c r="O424" s="27" t="n">
        <v>-1.0148</v>
      </c>
      <c r="P424" s="28" t="n">
        <f aca="false">Summary!$C$6*O424</f>
        <v>-0.005074</v>
      </c>
      <c r="Q424" s="29" t="n">
        <f aca="false">Q423*(1+P424)</f>
        <v>15441.7769085947</v>
      </c>
      <c r="R424" s="29" t="n">
        <f aca="false">MAX(R423,Q424)</f>
        <v>15520.5280680118</v>
      </c>
      <c r="S424" s="30" t="n">
        <f aca="false">Q424/R424-1</f>
        <v>-0.00507400000000002</v>
      </c>
      <c r="T424" s="31" t="n">
        <f aca="false">DATE(YEAR(F424),MONTH(F424),1)</f>
        <v>44621</v>
      </c>
    </row>
    <row r="425" customFormat="false" ht="15" hidden="false" customHeight="true" outlineLevel="0" collapsed="false">
      <c r="A425" s="4" t="n">
        <v>424</v>
      </c>
      <c r="B425" s="4" t="s">
        <v>28</v>
      </c>
      <c r="C425" s="4" t="s">
        <v>54</v>
      </c>
      <c r="D425" s="23" t="n">
        <v>44630.9166666667</v>
      </c>
      <c r="E425" s="23" t="n">
        <v>44631.2916666667</v>
      </c>
      <c r="F425" s="23" t="n">
        <v>44631.5104166667</v>
      </c>
      <c r="G425" s="4" t="n">
        <f aca="false">YEAR(E425)</f>
        <v>2022</v>
      </c>
      <c r="H425" s="4" t="str">
        <f aca="false">IF(E425&lt;DATE(2015,1,1),"2005–2014",IF(E425&lt;DATE(2022,3,5),"2015 – Mar 2022","Mar 2022 – Oct 2026"))</f>
        <v>Mar 2022 – Oct 2026</v>
      </c>
      <c r="I425" s="24" t="n">
        <v>152.866</v>
      </c>
      <c r="J425" s="24" t="n">
        <v>153.418</v>
      </c>
      <c r="K425" s="24" t="n">
        <v>151.174</v>
      </c>
      <c r="L425" s="25" t="n">
        <v>3.068</v>
      </c>
      <c r="M425" s="26" t="n">
        <v>55.148</v>
      </c>
      <c r="N425" s="4" t="s">
        <v>34</v>
      </c>
      <c r="O425" s="27" t="n">
        <v>-1.0136</v>
      </c>
      <c r="P425" s="28" t="n">
        <f aca="false">Summary!$C$6*O425</f>
        <v>-0.005068</v>
      </c>
      <c r="Q425" s="29" t="n">
        <f aca="false">Q424*(1+P425)</f>
        <v>15363.5179832219</v>
      </c>
      <c r="R425" s="29" t="n">
        <f aca="false">MAX(R424,Q425)</f>
        <v>15520.5280680118</v>
      </c>
      <c r="S425" s="30" t="n">
        <f aca="false">Q425/R425-1</f>
        <v>-0.0101162849679999</v>
      </c>
      <c r="T425" s="31" t="n">
        <f aca="false">DATE(YEAR(F425),MONTH(F425),1)</f>
        <v>44621</v>
      </c>
    </row>
    <row r="426" customFormat="false" ht="15" hidden="false" customHeight="true" outlineLevel="0" collapsed="false">
      <c r="A426" s="4" t="n">
        <v>425</v>
      </c>
      <c r="B426" s="4" t="s">
        <v>28</v>
      </c>
      <c r="C426" s="4" t="s">
        <v>54</v>
      </c>
      <c r="D426" s="23" t="n">
        <v>44693.9166666667</v>
      </c>
      <c r="E426" s="23" t="n">
        <v>44694.03125</v>
      </c>
      <c r="F426" s="23" t="n">
        <v>44694.6145833333</v>
      </c>
      <c r="G426" s="4" t="n">
        <f aca="false">YEAR(E426)</f>
        <v>2022</v>
      </c>
      <c r="H426" s="4" t="str">
        <f aca="false">IF(E426&lt;DATE(2015,1,1),"2005–2014",IF(E426&lt;DATE(2022,3,5),"2015 – Mar 2022","Mar 2022 – Oct 2026"))</f>
        <v>Mar 2022 – Oct 2026</v>
      </c>
      <c r="I426" s="24" t="n">
        <v>157.291</v>
      </c>
      <c r="J426" s="24" t="n">
        <v>158.108</v>
      </c>
      <c r="K426" s="24" t="n">
        <v>154.829</v>
      </c>
      <c r="L426" s="25" t="n">
        <v>3.017</v>
      </c>
      <c r="M426" s="26" t="n">
        <v>81.632</v>
      </c>
      <c r="N426" s="4" t="s">
        <v>34</v>
      </c>
      <c r="O426" s="27" t="n">
        <v>-1.0092</v>
      </c>
      <c r="P426" s="28" t="n">
        <f aca="false">Summary!$C$6*O426</f>
        <v>-0.005046</v>
      </c>
      <c r="Q426" s="29" t="n">
        <f aca="false">Q425*(1+P426)</f>
        <v>15285.9936714786</v>
      </c>
      <c r="R426" s="29" t="n">
        <f aca="false">MAX(R425,Q426)</f>
        <v>15520.5280680118</v>
      </c>
      <c r="S426" s="30" t="n">
        <f aca="false">Q426/R426-1</f>
        <v>-0.0151112381940514</v>
      </c>
      <c r="T426" s="31" t="n">
        <f aca="false">DATE(YEAR(F426),MONTH(F426),1)</f>
        <v>44682</v>
      </c>
    </row>
    <row r="427" customFormat="false" ht="15" hidden="false" customHeight="true" outlineLevel="0" collapsed="false">
      <c r="A427" s="4" t="n">
        <v>426</v>
      </c>
      <c r="B427" s="4" t="s">
        <v>27</v>
      </c>
      <c r="C427" s="4" t="s">
        <v>53</v>
      </c>
      <c r="D427" s="23" t="n">
        <v>44754.9166666667</v>
      </c>
      <c r="E427" s="23" t="n">
        <v>44755.03125</v>
      </c>
      <c r="F427" s="23" t="n">
        <v>44760.3854166667</v>
      </c>
      <c r="G427" s="4" t="n">
        <f aca="false">YEAR(E427)</f>
        <v>2022</v>
      </c>
      <c r="H427" s="4" t="str">
        <f aca="false">IF(E427&lt;DATE(2015,1,1),"2005–2014",IF(E427&lt;DATE(2022,3,5),"2015 – Mar 2022","Mar 2022 – Oct 2026"))</f>
        <v>Mar 2022 – Oct 2026</v>
      </c>
      <c r="I427" s="24" t="n">
        <v>162.67</v>
      </c>
      <c r="J427" s="24" t="n">
        <v>161.828</v>
      </c>
      <c r="K427" s="24" t="n">
        <v>165.331</v>
      </c>
      <c r="L427" s="25" t="n">
        <v>3.161</v>
      </c>
      <c r="M427" s="26" t="n">
        <v>84.201</v>
      </c>
      <c r="N427" s="4" t="s">
        <v>33</v>
      </c>
      <c r="O427" s="27" t="n">
        <v>3.1607</v>
      </c>
      <c r="P427" s="28" t="n">
        <f aca="false">Summary!$C$6*O427</f>
        <v>0.0158035</v>
      </c>
      <c r="Q427" s="29" t="n">
        <f aca="false">Q426*(1+P427)</f>
        <v>15527.5658724658</v>
      </c>
      <c r="R427" s="29" t="n">
        <f aca="false">MAX(R426,Q427)</f>
        <v>15527.5658724658</v>
      </c>
      <c r="S427" s="30" t="n">
        <f aca="false">Q427/R427-1</f>
        <v>0</v>
      </c>
      <c r="T427" s="31" t="n">
        <f aca="false">DATE(YEAR(F427),MONTH(F427),1)</f>
        <v>44743</v>
      </c>
    </row>
    <row r="428" customFormat="false" ht="15" hidden="false" customHeight="true" outlineLevel="0" collapsed="false">
      <c r="A428" s="4" t="n">
        <v>427</v>
      </c>
      <c r="B428" s="4" t="s">
        <v>28</v>
      </c>
      <c r="C428" s="4" t="s">
        <v>53</v>
      </c>
      <c r="D428" s="23" t="n">
        <v>44769.9166666667</v>
      </c>
      <c r="E428" s="23" t="n">
        <v>44770.03125</v>
      </c>
      <c r="F428" s="23" t="n">
        <v>44770.0520833333</v>
      </c>
      <c r="G428" s="4" t="n">
        <f aca="false">YEAR(E428)</f>
        <v>2022</v>
      </c>
      <c r="H428" s="4" t="str">
        <f aca="false">IF(E428&lt;DATE(2015,1,1),"2005–2014",IF(E428&lt;DATE(2022,3,5),"2015 – Mar 2022","Mar 2022 – Oct 2026"))</f>
        <v>Mar 2022 – Oct 2026</v>
      </c>
      <c r="I428" s="24" t="n">
        <v>165.413</v>
      </c>
      <c r="J428" s="24" t="n">
        <v>164.663</v>
      </c>
      <c r="K428" s="24" t="n">
        <v>167.734</v>
      </c>
      <c r="L428" s="25" t="n">
        <v>3.095</v>
      </c>
      <c r="M428" s="26" t="n">
        <v>74.98</v>
      </c>
      <c r="N428" s="4" t="s">
        <v>34</v>
      </c>
      <c r="O428" s="27" t="n">
        <v>-1.01</v>
      </c>
      <c r="P428" s="28" t="n">
        <f aca="false">Summary!$C$6*O428</f>
        <v>-0.00505</v>
      </c>
      <c r="Q428" s="29" t="n">
        <f aca="false">Q427*(1+P428)</f>
        <v>15449.1516648099</v>
      </c>
      <c r="R428" s="29" t="n">
        <f aca="false">MAX(R427,Q428)</f>
        <v>15527.5658724658</v>
      </c>
      <c r="S428" s="30" t="n">
        <f aca="false">Q428/R428-1</f>
        <v>-0.00505</v>
      </c>
      <c r="T428" s="31" t="n">
        <f aca="false">DATE(YEAR(F428),MONTH(F428),1)</f>
        <v>44743</v>
      </c>
    </row>
    <row r="429" customFormat="false" ht="15" hidden="false" customHeight="true" outlineLevel="0" collapsed="false">
      <c r="A429" s="4" t="n">
        <v>428</v>
      </c>
      <c r="B429" s="4" t="s">
        <v>27</v>
      </c>
      <c r="C429" s="4" t="s">
        <v>54</v>
      </c>
      <c r="D429" s="23" t="n">
        <v>44777.9166666667</v>
      </c>
      <c r="E429" s="23" t="n">
        <v>44778.5104166667</v>
      </c>
      <c r="F429" s="23" t="n">
        <v>44778.5833333333</v>
      </c>
      <c r="G429" s="4" t="n">
        <f aca="false">YEAR(E429)</f>
        <v>2022</v>
      </c>
      <c r="H429" s="4" t="str">
        <f aca="false">IF(E429&lt;DATE(2015,1,1),"2005–2014",IF(E429&lt;DATE(2022,3,5),"2015 – Mar 2022","Mar 2022 – Oct 2026"))</f>
        <v>Mar 2022 – Oct 2026</v>
      </c>
      <c r="I429" s="24" t="n">
        <v>161.798</v>
      </c>
      <c r="J429" s="24" t="n">
        <v>162.63</v>
      </c>
      <c r="K429" s="24" t="n">
        <v>159.076</v>
      </c>
      <c r="L429" s="25" t="n">
        <v>3.271</v>
      </c>
      <c r="M429" s="26" t="n">
        <v>83.207</v>
      </c>
      <c r="N429" s="4" t="s">
        <v>34</v>
      </c>
      <c r="O429" s="27" t="n">
        <v>-1.009</v>
      </c>
      <c r="P429" s="28" t="n">
        <f aca="false">Summary!$C$6*O429</f>
        <v>-0.005045</v>
      </c>
      <c r="Q429" s="29" t="n">
        <f aca="false">Q428*(1+P429)</f>
        <v>15371.2106946609</v>
      </c>
      <c r="R429" s="29" t="n">
        <f aca="false">MAX(R428,Q429)</f>
        <v>15527.5658724658</v>
      </c>
      <c r="S429" s="30" t="n">
        <f aca="false">Q429/R429-1</f>
        <v>-0.0100695227500001</v>
      </c>
      <c r="T429" s="31" t="n">
        <f aca="false">DATE(YEAR(F429),MONTH(F429),1)</f>
        <v>44774</v>
      </c>
    </row>
    <row r="430" customFormat="false" ht="15" hidden="false" customHeight="true" outlineLevel="0" collapsed="false">
      <c r="A430" s="4" t="n">
        <v>429</v>
      </c>
      <c r="B430" s="4" t="s">
        <v>28</v>
      </c>
      <c r="C430" s="4" t="s">
        <v>53</v>
      </c>
      <c r="D430" s="23" t="n">
        <v>44778.9166666667</v>
      </c>
      <c r="E430" s="23" t="n">
        <v>44783.5208333333</v>
      </c>
      <c r="F430" s="23" t="n">
        <v>44783.5625</v>
      </c>
      <c r="G430" s="4" t="n">
        <f aca="false">YEAR(E430)</f>
        <v>2022</v>
      </c>
      <c r="H430" s="4" t="str">
        <f aca="false">IF(E430&lt;DATE(2015,1,1),"2005–2014",IF(E430&lt;DATE(2022,3,5),"2015 – Mar 2022","Mar 2022 – Oct 2026"))</f>
        <v>Mar 2022 – Oct 2026</v>
      </c>
      <c r="I430" s="24" t="n">
        <v>162.195</v>
      </c>
      <c r="J430" s="24" t="n">
        <v>161.356</v>
      </c>
      <c r="K430" s="24" t="n">
        <v>165.332</v>
      </c>
      <c r="L430" s="25" t="n">
        <v>3.74</v>
      </c>
      <c r="M430" s="26" t="n">
        <v>83.859</v>
      </c>
      <c r="N430" s="4" t="s">
        <v>35</v>
      </c>
      <c r="O430" s="27" t="n">
        <v>0.0268</v>
      </c>
      <c r="P430" s="28" t="n">
        <f aca="false">Summary!$C$6*O430</f>
        <v>0.000134</v>
      </c>
      <c r="Q430" s="29" t="n">
        <f aca="false">Q429*(1+P430)</f>
        <v>15373.270436894</v>
      </c>
      <c r="R430" s="29" t="n">
        <f aca="false">MAX(R429,Q430)</f>
        <v>15527.5658724658</v>
      </c>
      <c r="S430" s="30" t="n">
        <f aca="false">Q430/R430-1</f>
        <v>-0.00993687206604843</v>
      </c>
      <c r="T430" s="31" t="n">
        <f aca="false">DATE(YEAR(F430),MONTH(F430),1)</f>
        <v>44774</v>
      </c>
    </row>
    <row r="431" customFormat="false" ht="15" hidden="false" customHeight="true" outlineLevel="0" collapsed="false">
      <c r="A431" s="4" t="n">
        <v>430</v>
      </c>
      <c r="B431" s="4" t="s">
        <v>27</v>
      </c>
      <c r="C431" s="4" t="s">
        <v>53</v>
      </c>
      <c r="D431" s="23" t="n">
        <v>44784.9166666667</v>
      </c>
      <c r="E431" s="23" t="n">
        <v>44785.1458333333</v>
      </c>
      <c r="F431" s="23" t="n">
        <v>44787.9895833333</v>
      </c>
      <c r="G431" s="4" t="n">
        <f aca="false">YEAR(E431)</f>
        <v>2022</v>
      </c>
      <c r="H431" s="4" t="str">
        <f aca="false">IF(E431&lt;DATE(2015,1,1),"2005–2014",IF(E431&lt;DATE(2022,3,5),"2015 – Mar 2022","Mar 2022 – Oct 2026"))</f>
        <v>Mar 2022 – Oct 2026</v>
      </c>
      <c r="I431" s="24" t="n">
        <v>162.5</v>
      </c>
      <c r="J431" s="24" t="n">
        <v>161.732</v>
      </c>
      <c r="K431" s="24" t="n">
        <v>165.34</v>
      </c>
      <c r="L431" s="25" t="n">
        <v>3.7</v>
      </c>
      <c r="M431" s="26" t="n">
        <v>76.759</v>
      </c>
      <c r="N431" s="4" t="s">
        <v>34</v>
      </c>
      <c r="O431" s="27" t="n">
        <v>-1.0098</v>
      </c>
      <c r="P431" s="28" t="n">
        <f aca="false">Summary!$C$6*O431</f>
        <v>-0.005049</v>
      </c>
      <c r="Q431" s="29" t="n">
        <f aca="false">Q430*(1+P431)</f>
        <v>15295.6507944581</v>
      </c>
      <c r="R431" s="29" t="n">
        <f aca="false">MAX(R430,Q431)</f>
        <v>15527.5658724658</v>
      </c>
      <c r="S431" s="30" t="n">
        <f aca="false">Q431/R431-1</f>
        <v>-0.0149357007989869</v>
      </c>
      <c r="T431" s="31" t="n">
        <f aca="false">DATE(YEAR(F431),MONTH(F431),1)</f>
        <v>44774</v>
      </c>
    </row>
    <row r="432" customFormat="false" ht="15" hidden="false" customHeight="true" outlineLevel="0" collapsed="false">
      <c r="A432" s="4" t="n">
        <v>431</v>
      </c>
      <c r="B432" s="4" t="s">
        <v>28</v>
      </c>
      <c r="C432" s="4" t="s">
        <v>54</v>
      </c>
      <c r="D432" s="23" t="n">
        <v>44788.9166666667</v>
      </c>
      <c r="E432" s="23" t="n">
        <v>44789.53125</v>
      </c>
      <c r="F432" s="23" t="n">
        <v>44790.2708333333</v>
      </c>
      <c r="G432" s="4" t="n">
        <f aca="false">YEAR(E432)</f>
        <v>2022</v>
      </c>
      <c r="H432" s="4" t="str">
        <f aca="false">IF(E432&lt;DATE(2015,1,1),"2005–2014",IF(E432&lt;DATE(2022,3,5),"2015 – Mar 2022","Mar 2022 – Oct 2026"))</f>
        <v>Mar 2022 – Oct 2026</v>
      </c>
      <c r="I432" s="24" t="n">
        <v>162.248</v>
      </c>
      <c r="J432" s="24" t="n">
        <v>162.988</v>
      </c>
      <c r="K432" s="24" t="n">
        <v>160.014</v>
      </c>
      <c r="L432" s="25" t="n">
        <v>3.021</v>
      </c>
      <c r="M432" s="26" t="n">
        <v>73.954</v>
      </c>
      <c r="N432" s="4" t="s">
        <v>34</v>
      </c>
      <c r="O432" s="27" t="n">
        <v>-1.0101</v>
      </c>
      <c r="P432" s="28" t="n">
        <f aca="false">Summary!$C$6*O432</f>
        <v>-0.0050505</v>
      </c>
      <c r="Q432" s="29" t="n">
        <f aca="false">Q431*(1+P432)</f>
        <v>15218.4001101207</v>
      </c>
      <c r="R432" s="29" t="n">
        <f aca="false">MAX(R431,Q432)</f>
        <v>15527.5658724658</v>
      </c>
      <c r="S432" s="30" t="n">
        <f aca="false">Q432/R432-1</f>
        <v>-0.0199107680421016</v>
      </c>
      <c r="T432" s="31" t="n">
        <f aca="false">DATE(YEAR(F432),MONTH(F432),1)</f>
        <v>44774</v>
      </c>
    </row>
    <row r="433" customFormat="false" ht="15" hidden="false" customHeight="true" outlineLevel="0" collapsed="false">
      <c r="A433" s="4" t="n">
        <v>432</v>
      </c>
      <c r="B433" s="4" t="s">
        <v>27</v>
      </c>
      <c r="C433" s="4" t="s">
        <v>54</v>
      </c>
      <c r="D433" s="23" t="n">
        <v>44790.9166666667</v>
      </c>
      <c r="E433" s="23" t="n">
        <v>44791.0833333333</v>
      </c>
      <c r="F433" s="23" t="n">
        <v>44791.40625</v>
      </c>
      <c r="G433" s="4" t="n">
        <f aca="false">YEAR(E433)</f>
        <v>2022</v>
      </c>
      <c r="H433" s="4" t="str">
        <f aca="false">IF(E433&lt;DATE(2015,1,1),"2005–2014",IF(E433&lt;DATE(2022,3,5),"2015 – Mar 2022","Mar 2022 – Oct 2026"))</f>
        <v>Mar 2022 – Oct 2026</v>
      </c>
      <c r="I433" s="24" t="n">
        <v>162.43</v>
      </c>
      <c r="J433" s="24" t="n">
        <v>163.181</v>
      </c>
      <c r="K433" s="24" t="n">
        <v>160.016</v>
      </c>
      <c r="L433" s="25" t="n">
        <v>3.216</v>
      </c>
      <c r="M433" s="26" t="n">
        <v>75.069</v>
      </c>
      <c r="N433" s="4" t="s">
        <v>34</v>
      </c>
      <c r="O433" s="27" t="n">
        <v>-1.01</v>
      </c>
      <c r="P433" s="28" t="n">
        <f aca="false">Summary!$C$6*O433</f>
        <v>-0.00505</v>
      </c>
      <c r="Q433" s="29" t="n">
        <f aca="false">Q432*(1+P433)</f>
        <v>15141.5471895646</v>
      </c>
      <c r="R433" s="29" t="n">
        <f aca="false">MAX(R432,Q433)</f>
        <v>15527.5658724658</v>
      </c>
      <c r="S433" s="30" t="n">
        <f aca="false">Q433/R433-1</f>
        <v>-0.024860218663489</v>
      </c>
      <c r="T433" s="31" t="n">
        <f aca="false">DATE(YEAR(F433),MONTH(F433),1)</f>
        <v>44774</v>
      </c>
    </row>
    <row r="434" customFormat="false" ht="15" hidden="false" customHeight="true" outlineLevel="0" collapsed="false">
      <c r="A434" s="4" t="n">
        <v>433</v>
      </c>
      <c r="B434" s="4" t="s">
        <v>27</v>
      </c>
      <c r="C434" s="4" t="s">
        <v>54</v>
      </c>
      <c r="D434" s="23" t="n">
        <v>44798.9166666667</v>
      </c>
      <c r="E434" s="23" t="n">
        <v>44799</v>
      </c>
      <c r="F434" s="23" t="n">
        <v>44799.4270833333</v>
      </c>
      <c r="G434" s="4" t="n">
        <f aca="false">YEAR(E434)</f>
        <v>2022</v>
      </c>
      <c r="H434" s="4" t="str">
        <f aca="false">IF(E434&lt;DATE(2015,1,1),"2005–2014",IF(E434&lt;DATE(2022,3,5),"2015 – Mar 2022","Mar 2022 – Oct 2026"))</f>
        <v>Mar 2022 – Oct 2026</v>
      </c>
      <c r="I434" s="24" t="n">
        <v>161.468</v>
      </c>
      <c r="J434" s="24" t="n">
        <v>162.126</v>
      </c>
      <c r="K434" s="24" t="n">
        <v>159.055</v>
      </c>
      <c r="L434" s="25" t="n">
        <v>3.666</v>
      </c>
      <c r="M434" s="26" t="n">
        <v>65.813</v>
      </c>
      <c r="N434" s="4" t="s">
        <v>34</v>
      </c>
      <c r="O434" s="27" t="n">
        <v>-1.0114</v>
      </c>
      <c r="P434" s="28" t="n">
        <f aca="false">Summary!$C$6*O434</f>
        <v>-0.005057</v>
      </c>
      <c r="Q434" s="29" t="n">
        <f aca="false">Q433*(1+P434)</f>
        <v>15064.976385427</v>
      </c>
      <c r="R434" s="29" t="n">
        <f aca="false">MAX(R433,Q434)</f>
        <v>15527.5658724658</v>
      </c>
      <c r="S434" s="30" t="n">
        <f aca="false">Q434/R434-1</f>
        <v>-0.0297915005377076</v>
      </c>
      <c r="T434" s="31" t="n">
        <f aca="false">DATE(YEAR(F434),MONTH(F434),1)</f>
        <v>44774</v>
      </c>
    </row>
    <row r="435" customFormat="false" ht="15" hidden="false" customHeight="true" outlineLevel="0" collapsed="false">
      <c r="A435" s="4" t="n">
        <v>434</v>
      </c>
      <c r="B435" s="4" t="s">
        <v>27</v>
      </c>
      <c r="C435" s="4" t="s">
        <v>54</v>
      </c>
      <c r="D435" s="23" t="n">
        <v>44799.9166666667</v>
      </c>
      <c r="E435" s="23" t="n">
        <v>44802.875</v>
      </c>
      <c r="F435" s="23" t="n">
        <v>44806.40625</v>
      </c>
      <c r="G435" s="4" t="n">
        <f aca="false">YEAR(E435)</f>
        <v>2022</v>
      </c>
      <c r="H435" s="4" t="str">
        <f aca="false">IF(E435&lt;DATE(2015,1,1),"2005–2014",IF(E435&lt;DATE(2022,3,5),"2015 – Mar 2022","Mar 2022 – Oct 2026"))</f>
        <v>Mar 2022 – Oct 2026</v>
      </c>
      <c r="I435" s="24" t="n">
        <v>162.439</v>
      </c>
      <c r="J435" s="24" t="n">
        <v>163.093</v>
      </c>
      <c r="K435" s="24" t="n">
        <v>160.004</v>
      </c>
      <c r="L435" s="25" t="n">
        <v>3.722</v>
      </c>
      <c r="M435" s="26" t="n">
        <v>65.423</v>
      </c>
      <c r="N435" s="4" t="s">
        <v>35</v>
      </c>
      <c r="O435" s="27" t="n">
        <v>0.0344</v>
      </c>
      <c r="P435" s="28" t="n">
        <f aca="false">Summary!$C$6*O435</f>
        <v>0.000172</v>
      </c>
      <c r="Q435" s="29" t="n">
        <f aca="false">Q434*(1+P435)</f>
        <v>15067.5675613653</v>
      </c>
      <c r="R435" s="29" t="n">
        <f aca="false">MAX(R434,Q435)</f>
        <v>15527.5658724658</v>
      </c>
      <c r="S435" s="30" t="n">
        <f aca="false">Q435/R435-1</f>
        <v>-0.0296246246758001</v>
      </c>
      <c r="T435" s="31" t="n">
        <f aca="false">DATE(YEAR(F435),MONTH(F435),1)</f>
        <v>44805</v>
      </c>
    </row>
    <row r="436" customFormat="false" ht="15" hidden="false" customHeight="true" outlineLevel="0" collapsed="false">
      <c r="A436" s="4" t="n">
        <v>435</v>
      </c>
      <c r="B436" s="4" t="s">
        <v>28</v>
      </c>
      <c r="C436" s="4" t="s">
        <v>54</v>
      </c>
      <c r="D436" s="23" t="n">
        <v>44825.9166666667</v>
      </c>
      <c r="E436" s="23" t="n">
        <v>44826.1145833333</v>
      </c>
      <c r="F436" s="23" t="n">
        <v>44826.2291666667</v>
      </c>
      <c r="G436" s="4" t="n">
        <f aca="false">YEAR(E436)</f>
        <v>2022</v>
      </c>
      <c r="H436" s="4" t="str">
        <f aca="false">IF(E436&lt;DATE(2015,1,1),"2005–2014",IF(E436&lt;DATE(2022,3,5),"2015 – Mar 2022","Mar 2022 – Oct 2026"))</f>
        <v>Mar 2022 – Oct 2026</v>
      </c>
      <c r="I436" s="24" t="n">
        <v>163.093</v>
      </c>
      <c r="J436" s="24" t="n">
        <v>163.741</v>
      </c>
      <c r="K436" s="24" t="n">
        <v>161.069</v>
      </c>
      <c r="L436" s="25" t="n">
        <v>3.127</v>
      </c>
      <c r="M436" s="26" t="n">
        <v>64.732</v>
      </c>
      <c r="N436" s="4" t="s">
        <v>35</v>
      </c>
      <c r="O436" s="27" t="n">
        <v>0.0348</v>
      </c>
      <c r="P436" s="28" t="n">
        <f aca="false">Summary!$C$6*O436</f>
        <v>0.000174</v>
      </c>
      <c r="Q436" s="29" t="n">
        <f aca="false">Q435*(1+P436)</f>
        <v>15070.1893181209</v>
      </c>
      <c r="R436" s="29" t="n">
        <f aca="false">MAX(R435,Q436)</f>
        <v>15527.5658724658</v>
      </c>
      <c r="S436" s="30" t="n">
        <f aca="false">Q436/R436-1</f>
        <v>-0.0294557793604938</v>
      </c>
      <c r="T436" s="31" t="n">
        <f aca="false">DATE(YEAR(F436),MONTH(F436),1)</f>
        <v>44805</v>
      </c>
    </row>
    <row r="437" customFormat="false" ht="15" hidden="false" customHeight="true" outlineLevel="0" collapsed="false">
      <c r="A437" s="4" t="n">
        <v>436</v>
      </c>
      <c r="B437" s="4" t="s">
        <v>28</v>
      </c>
      <c r="C437" s="4" t="s">
        <v>54</v>
      </c>
      <c r="D437" s="23" t="n">
        <v>44840.9166666667</v>
      </c>
      <c r="E437" s="23" t="n">
        <v>44846.75</v>
      </c>
      <c r="F437" s="23" t="n">
        <v>44847.46875</v>
      </c>
      <c r="G437" s="4" t="n">
        <f aca="false">YEAR(E437)</f>
        <v>2022</v>
      </c>
      <c r="H437" s="4" t="str">
        <f aca="false">IF(E437&lt;DATE(2015,1,1),"2005–2014",IF(E437&lt;DATE(2022,3,5),"2015 – Mar 2022","Mar 2022 – Oct 2026"))</f>
        <v>Mar 2022 – Oct 2026</v>
      </c>
      <c r="I437" s="24" t="n">
        <v>163.111</v>
      </c>
      <c r="J437" s="24" t="n">
        <v>164.283</v>
      </c>
      <c r="K437" s="24" t="n">
        <v>159.118</v>
      </c>
      <c r="L437" s="25" t="n">
        <v>3.41</v>
      </c>
      <c r="M437" s="26" t="n">
        <v>117.12</v>
      </c>
      <c r="N437" s="4" t="s">
        <v>34</v>
      </c>
      <c r="O437" s="27" t="n">
        <v>-1.0064</v>
      </c>
      <c r="P437" s="28" t="n">
        <f aca="false">Summary!$C$6*O437</f>
        <v>-0.005032</v>
      </c>
      <c r="Q437" s="29" t="n">
        <f aca="false">Q436*(1+P437)</f>
        <v>14994.3561254722</v>
      </c>
      <c r="R437" s="29" t="n">
        <f aca="false">MAX(R436,Q437)</f>
        <v>15527.5658724658</v>
      </c>
      <c r="S437" s="30" t="n">
        <f aca="false">Q437/R437-1</f>
        <v>-0.0343395578787518</v>
      </c>
      <c r="T437" s="31" t="n">
        <f aca="false">DATE(YEAR(F437),MONTH(F437),1)</f>
        <v>44835</v>
      </c>
    </row>
    <row r="438" customFormat="false" ht="15" hidden="false" customHeight="true" outlineLevel="0" collapsed="false">
      <c r="A438" s="4" t="n">
        <v>437</v>
      </c>
      <c r="B438" s="4" t="s">
        <v>28</v>
      </c>
      <c r="C438" s="4" t="s">
        <v>54</v>
      </c>
      <c r="D438" s="23" t="n">
        <v>44868.9166666667</v>
      </c>
      <c r="E438" s="23" t="n">
        <v>44872.3645833333</v>
      </c>
      <c r="F438" s="23" t="n">
        <v>44872.7395833333</v>
      </c>
      <c r="G438" s="4" t="n">
        <f aca="false">YEAR(E438)</f>
        <v>2022</v>
      </c>
      <c r="H438" s="4" t="str">
        <f aca="false">IF(E438&lt;DATE(2015,1,1),"2005–2014",IF(E438&lt;DATE(2022,3,5),"2015 – Mar 2022","Mar 2022 – Oct 2026"))</f>
        <v>Mar 2022 – Oct 2026</v>
      </c>
      <c r="I438" s="24" t="n">
        <v>167.623</v>
      </c>
      <c r="J438" s="24" t="n">
        <v>168.686</v>
      </c>
      <c r="K438" s="24" t="n">
        <v>163.536</v>
      </c>
      <c r="L438" s="25" t="n">
        <v>3.848</v>
      </c>
      <c r="M438" s="26" t="n">
        <v>106.222</v>
      </c>
      <c r="N438" s="4" t="s">
        <v>34</v>
      </c>
      <c r="O438" s="27" t="n">
        <v>-1.0071</v>
      </c>
      <c r="P438" s="28" t="n">
        <f aca="false">Summary!$C$6*O438</f>
        <v>-0.0050355</v>
      </c>
      <c r="Q438" s="29" t="n">
        <f aca="false">Q437*(1+P438)</f>
        <v>14918.8520452023</v>
      </c>
      <c r="R438" s="29" t="n">
        <f aca="false">MAX(R437,Q438)</f>
        <v>15527.5658724658</v>
      </c>
      <c r="S438" s="30" t="n">
        <f aca="false">Q438/R438-1</f>
        <v>-0.0392021410350533</v>
      </c>
      <c r="T438" s="31" t="n">
        <f aca="false">DATE(YEAR(F438),MONTH(F438),1)</f>
        <v>44866</v>
      </c>
    </row>
    <row r="439" customFormat="false" ht="15" hidden="false" customHeight="true" outlineLevel="0" collapsed="false">
      <c r="A439" s="4" t="n">
        <v>438</v>
      </c>
      <c r="B439" s="4" t="s">
        <v>28</v>
      </c>
      <c r="C439" s="4" t="s">
        <v>53</v>
      </c>
      <c r="D439" s="23" t="n">
        <v>44872.9166666667</v>
      </c>
      <c r="E439" s="23" t="n">
        <v>44873.4479166667</v>
      </c>
      <c r="F439" s="23" t="n">
        <v>44874.4166666667</v>
      </c>
      <c r="G439" s="4" t="n">
        <f aca="false">YEAR(E439)</f>
        <v>2022</v>
      </c>
      <c r="H439" s="4" t="str">
        <f aca="false">IF(E439&lt;DATE(2015,1,1),"2005–2014",IF(E439&lt;DATE(2022,3,5),"2015 – Mar 2022","Mar 2022 – Oct 2026"))</f>
        <v>Mar 2022 – Oct 2026</v>
      </c>
      <c r="I439" s="24" t="n">
        <v>167.583</v>
      </c>
      <c r="J439" s="24" t="n">
        <v>166.527</v>
      </c>
      <c r="K439" s="24" t="n">
        <v>171.232</v>
      </c>
      <c r="L439" s="25" t="n">
        <v>3.455</v>
      </c>
      <c r="M439" s="26" t="n">
        <v>105.625</v>
      </c>
      <c r="N439" s="4" t="s">
        <v>34</v>
      </c>
      <c r="O439" s="27" t="n">
        <v>-1.0071</v>
      </c>
      <c r="P439" s="28" t="n">
        <f aca="false">Summary!$C$6*O439</f>
        <v>-0.0050355</v>
      </c>
      <c r="Q439" s="29" t="n">
        <f aca="false">Q438*(1+P439)</f>
        <v>14843.7281657287</v>
      </c>
      <c r="R439" s="29" t="n">
        <f aca="false">MAX(R438,Q439)</f>
        <v>15527.5658724658</v>
      </c>
      <c r="S439" s="30" t="n">
        <f aca="false">Q439/R439-1</f>
        <v>-0.0440402386538713</v>
      </c>
      <c r="T439" s="31" t="n">
        <f aca="false">DATE(YEAR(F439),MONTH(F439),1)</f>
        <v>44866</v>
      </c>
    </row>
    <row r="440" customFormat="false" ht="15" hidden="false" customHeight="true" outlineLevel="0" collapsed="false">
      <c r="A440" s="4" t="n">
        <v>439</v>
      </c>
      <c r="B440" s="4" t="s">
        <v>28</v>
      </c>
      <c r="C440" s="4" t="s">
        <v>53</v>
      </c>
      <c r="D440" s="23" t="n">
        <v>44881.9166666667</v>
      </c>
      <c r="E440" s="23" t="n">
        <v>44882.4791666667</v>
      </c>
      <c r="F440" s="23" t="n">
        <v>44888.46875</v>
      </c>
      <c r="G440" s="4" t="n">
        <f aca="false">YEAR(E440)</f>
        <v>2022</v>
      </c>
      <c r="H440" s="4" t="str">
        <f aca="false">IF(E440&lt;DATE(2015,1,1),"2005–2014",IF(E440&lt;DATE(2022,3,5),"2015 – Mar 2022","Mar 2022 – Oct 2026"))</f>
        <v>Mar 2022 – Oct 2026</v>
      </c>
      <c r="I440" s="24" t="n">
        <v>165.373</v>
      </c>
      <c r="J440" s="24" t="n">
        <v>164.374</v>
      </c>
      <c r="K440" s="24" t="n">
        <v>168.737</v>
      </c>
      <c r="L440" s="25" t="n">
        <v>3.366</v>
      </c>
      <c r="M440" s="26" t="n">
        <v>99.931</v>
      </c>
      <c r="N440" s="4" t="s">
        <v>33</v>
      </c>
      <c r="O440" s="27" t="n">
        <v>3.3664</v>
      </c>
      <c r="P440" s="28" t="n">
        <f aca="false">Summary!$C$6*O440</f>
        <v>0.016832</v>
      </c>
      <c r="Q440" s="29" t="n">
        <f aca="false">Q439*(1+P440)</f>
        <v>15093.5777982143</v>
      </c>
      <c r="R440" s="29" t="n">
        <f aca="false">MAX(R439,Q440)</f>
        <v>15527.5658724658</v>
      </c>
      <c r="S440" s="30" t="n">
        <f aca="false">Q440/R440-1</f>
        <v>-0.0279495239508932</v>
      </c>
      <c r="T440" s="31" t="n">
        <f aca="false">DATE(YEAR(F440),MONTH(F440),1)</f>
        <v>44866</v>
      </c>
    </row>
    <row r="441" customFormat="false" ht="15" hidden="false" customHeight="true" outlineLevel="0" collapsed="false">
      <c r="A441" s="4" t="n">
        <v>440</v>
      </c>
      <c r="B441" s="4" t="s">
        <v>28</v>
      </c>
      <c r="C441" s="4" t="s">
        <v>53</v>
      </c>
      <c r="D441" s="23" t="n">
        <v>44888.9166666667</v>
      </c>
      <c r="E441" s="23" t="n">
        <v>44889.2916666667</v>
      </c>
      <c r="F441" s="23" t="n">
        <v>44893.0208333333</v>
      </c>
      <c r="G441" s="4" t="n">
        <f aca="false">YEAR(E441)</f>
        <v>2022</v>
      </c>
      <c r="H441" s="4" t="str">
        <f aca="false">IF(E441&lt;DATE(2015,1,1),"2005–2014",IF(E441&lt;DATE(2022,3,5),"2015 – Mar 2022","Mar 2022 – Oct 2026"))</f>
        <v>Mar 2022 – Oct 2026</v>
      </c>
      <c r="I441" s="24" t="n">
        <v>167.63</v>
      </c>
      <c r="J441" s="24" t="n">
        <v>166.774</v>
      </c>
      <c r="K441" s="24" t="n">
        <v>171.257</v>
      </c>
      <c r="L441" s="25" t="n">
        <v>4.234</v>
      </c>
      <c r="M441" s="26" t="n">
        <v>85.643</v>
      </c>
      <c r="N441" s="4" t="s">
        <v>35</v>
      </c>
      <c r="O441" s="27" t="n">
        <v>0.0263</v>
      </c>
      <c r="P441" s="28" t="n">
        <f aca="false">Summary!$C$6*O441</f>
        <v>0.0001315</v>
      </c>
      <c r="Q441" s="29" t="n">
        <f aca="false">Q440*(1+P441)</f>
        <v>15095.5626036947</v>
      </c>
      <c r="R441" s="29" t="n">
        <f aca="false">MAX(R440,Q441)</f>
        <v>15527.5658724658</v>
      </c>
      <c r="S441" s="30" t="n">
        <f aca="false">Q441/R441-1</f>
        <v>-0.0278216993132928</v>
      </c>
      <c r="T441" s="31" t="n">
        <f aca="false">DATE(YEAR(F441),MONTH(F441),1)</f>
        <v>44866</v>
      </c>
    </row>
    <row r="442" customFormat="false" ht="15" hidden="false" customHeight="true" outlineLevel="0" collapsed="false">
      <c r="A442" s="4" t="n">
        <v>441</v>
      </c>
      <c r="B442" s="4" t="s">
        <v>28</v>
      </c>
      <c r="C442" s="4" t="s">
        <v>53</v>
      </c>
      <c r="D442" s="23" t="n">
        <v>44909.9166666667</v>
      </c>
      <c r="E442" s="23" t="n">
        <v>44910.78125</v>
      </c>
      <c r="F442" s="23" t="n">
        <v>44911.3333333333</v>
      </c>
      <c r="G442" s="4" t="n">
        <f aca="false">YEAR(E442)</f>
        <v>2022</v>
      </c>
      <c r="H442" s="4" t="str">
        <f aca="false">IF(E442&lt;DATE(2015,1,1),"2005–2014",IF(E442&lt;DATE(2022,3,5),"2015 – Mar 2022","Mar 2022 – Oct 2026"))</f>
        <v>Mar 2022 – Oct 2026</v>
      </c>
      <c r="I442" s="24" t="n">
        <v>167.797</v>
      </c>
      <c r="J442" s="24" t="n">
        <v>167.036</v>
      </c>
      <c r="K442" s="24" t="n">
        <v>171.268</v>
      </c>
      <c r="L442" s="25" t="n">
        <v>4.564</v>
      </c>
      <c r="M442" s="26" t="n">
        <v>76.061</v>
      </c>
      <c r="N442" s="4" t="s">
        <v>34</v>
      </c>
      <c r="O442" s="27" t="n">
        <v>-1.0099</v>
      </c>
      <c r="P442" s="28" t="n">
        <f aca="false">Summary!$C$6*O442</f>
        <v>-0.0050495</v>
      </c>
      <c r="Q442" s="29" t="n">
        <f aca="false">Q441*(1+P442)</f>
        <v>15019.3375603274</v>
      </c>
      <c r="R442" s="29" t="n">
        <f aca="false">MAX(R441,Q442)</f>
        <v>15527.5658724658</v>
      </c>
      <c r="S442" s="30" t="n">
        <f aca="false">Q442/R442-1</f>
        <v>-0.0327307136426105</v>
      </c>
      <c r="T442" s="31" t="n">
        <f aca="false">DATE(YEAR(F442),MONTH(F442),1)</f>
        <v>44896</v>
      </c>
    </row>
    <row r="443" customFormat="false" ht="15" hidden="false" customHeight="true" outlineLevel="0" collapsed="false">
      <c r="A443" s="4" t="n">
        <v>442</v>
      </c>
      <c r="B443" s="4" t="s">
        <v>27</v>
      </c>
      <c r="C443" s="4" t="s">
        <v>54</v>
      </c>
      <c r="D443" s="23" t="n">
        <v>44923.9166666667</v>
      </c>
      <c r="E443" s="23" t="n">
        <v>44924.0520833333</v>
      </c>
      <c r="F443" s="23" t="n">
        <v>44925.7395833333</v>
      </c>
      <c r="G443" s="4" t="n">
        <f aca="false">YEAR(E443)</f>
        <v>2022</v>
      </c>
      <c r="H443" s="4" t="str">
        <f aca="false">IF(E443&lt;DATE(2015,1,1),"2005–2014",IF(E443&lt;DATE(2022,3,5),"2015 – Mar 2022","Mar 2022 – Oct 2026"))</f>
        <v>Mar 2022 – Oct 2026</v>
      </c>
      <c r="I443" s="24" t="n">
        <v>161.151</v>
      </c>
      <c r="J443" s="24" t="n">
        <v>161.988</v>
      </c>
      <c r="K443" s="24" t="n">
        <v>158.442</v>
      </c>
      <c r="L443" s="25" t="n">
        <v>3.236</v>
      </c>
      <c r="M443" s="26" t="n">
        <v>83.722</v>
      </c>
      <c r="N443" s="4" t="s">
        <v>33</v>
      </c>
      <c r="O443" s="27" t="n">
        <v>3.2356</v>
      </c>
      <c r="P443" s="28" t="n">
        <f aca="false">Summary!$C$6*O443</f>
        <v>0.016178</v>
      </c>
      <c r="Q443" s="29" t="n">
        <f aca="false">Q442*(1+P443)</f>
        <v>15262.3204033784</v>
      </c>
      <c r="R443" s="29" t="n">
        <f aca="false">MAX(R442,Q443)</f>
        <v>15527.5658724658</v>
      </c>
      <c r="S443" s="30" t="n">
        <f aca="false">Q443/R443-1</f>
        <v>-0.0170822311279206</v>
      </c>
      <c r="T443" s="31" t="n">
        <f aca="false">DATE(YEAR(F443),MONTH(F443),1)</f>
        <v>44896</v>
      </c>
    </row>
    <row r="444" customFormat="false" ht="15" hidden="false" customHeight="true" outlineLevel="0" collapsed="false">
      <c r="A444" s="4" t="n">
        <v>443</v>
      </c>
      <c r="B444" s="4" t="s">
        <v>28</v>
      </c>
      <c r="C444" s="4" t="s">
        <v>53</v>
      </c>
      <c r="D444" s="23" t="n">
        <v>44949.9166666667</v>
      </c>
      <c r="E444" s="23" t="n">
        <v>44950.3125</v>
      </c>
      <c r="F444" s="23" t="n">
        <v>44950.40625</v>
      </c>
      <c r="G444" s="4" t="n">
        <f aca="false">YEAR(E444)</f>
        <v>2023</v>
      </c>
      <c r="H444" s="4" t="str">
        <f aca="false">IF(E444&lt;DATE(2015,1,1),"2005–2014",IF(E444&lt;DATE(2022,3,5),"2015 – Mar 2022","Mar 2022 – Oct 2026"))</f>
        <v>Mar 2022 – Oct 2026</v>
      </c>
      <c r="I444" s="24" t="n">
        <v>161.035</v>
      </c>
      <c r="J444" s="24" t="n">
        <v>160.206</v>
      </c>
      <c r="K444" s="24" t="n">
        <v>164.254</v>
      </c>
      <c r="L444" s="25" t="n">
        <v>3.881</v>
      </c>
      <c r="M444" s="26" t="n">
        <v>82.945</v>
      </c>
      <c r="N444" s="4" t="s">
        <v>34</v>
      </c>
      <c r="O444" s="27" t="n">
        <v>-1.009</v>
      </c>
      <c r="P444" s="28" t="n">
        <f aca="false">Summary!$C$6*O444</f>
        <v>-0.005045</v>
      </c>
      <c r="Q444" s="29" t="n">
        <f aca="false">Q443*(1+P444)</f>
        <v>15185.3219969433</v>
      </c>
      <c r="R444" s="29" t="n">
        <f aca="false">MAX(R443,Q444)</f>
        <v>15527.5658724658</v>
      </c>
      <c r="S444" s="30" t="n">
        <f aca="false">Q444/R444-1</f>
        <v>-0.0220410512718802</v>
      </c>
      <c r="T444" s="31" t="n">
        <f aca="false">DATE(YEAR(F444),MONTH(F444),1)</f>
        <v>44927</v>
      </c>
    </row>
    <row r="445" customFormat="false" ht="15" hidden="false" customHeight="true" outlineLevel="0" collapsed="false">
      <c r="A445" s="4" t="n">
        <v>444</v>
      </c>
      <c r="B445" s="4" t="s">
        <v>28</v>
      </c>
      <c r="C445" s="4" t="s">
        <v>53</v>
      </c>
      <c r="D445" s="23" t="n">
        <v>44952.9166666667</v>
      </c>
      <c r="E445" s="23" t="n">
        <v>44952.9791666667</v>
      </c>
      <c r="F445" s="23" t="n">
        <v>44956.1770833333</v>
      </c>
      <c r="G445" s="4" t="n">
        <f aca="false">YEAR(E445)</f>
        <v>2023</v>
      </c>
      <c r="H445" s="4" t="str">
        <f aca="false">IF(E445&lt;DATE(2015,1,1),"2005–2014",IF(E445&lt;DATE(2022,3,5),"2015 – Mar 2022","Mar 2022 – Oct 2026"))</f>
        <v>Mar 2022 – Oct 2026</v>
      </c>
      <c r="I445" s="24" t="n">
        <v>161.047</v>
      </c>
      <c r="J445" s="24" t="n">
        <v>160.248</v>
      </c>
      <c r="K445" s="24" t="n">
        <v>164.258</v>
      </c>
      <c r="L445" s="25" t="n">
        <v>4.022</v>
      </c>
      <c r="M445" s="26" t="n">
        <v>79.842</v>
      </c>
      <c r="N445" s="4" t="s">
        <v>34</v>
      </c>
      <c r="O445" s="27" t="n">
        <v>-1.0094</v>
      </c>
      <c r="P445" s="28" t="n">
        <f aca="false">Summary!$C$6*O445</f>
        <v>-0.005047</v>
      </c>
      <c r="Q445" s="29" t="n">
        <f aca="false">Q444*(1+P445)</f>
        <v>15108.6816768247</v>
      </c>
      <c r="R445" s="29" t="n">
        <f aca="false">MAX(R444,Q445)</f>
        <v>15527.5658724658</v>
      </c>
      <c r="S445" s="30" t="n">
        <f aca="false">Q445/R445-1</f>
        <v>-0.026976810086111</v>
      </c>
      <c r="T445" s="31" t="n">
        <f aca="false">DATE(YEAR(F445),MONTH(F445),1)</f>
        <v>44927</v>
      </c>
    </row>
    <row r="446" customFormat="false" ht="15" hidden="false" customHeight="true" outlineLevel="0" collapsed="false">
      <c r="A446" s="4" t="n">
        <v>445</v>
      </c>
      <c r="B446" s="4" t="s">
        <v>28</v>
      </c>
      <c r="C446" s="4" t="s">
        <v>54</v>
      </c>
      <c r="D446" s="23" t="n">
        <v>44964.9166666667</v>
      </c>
      <c r="E446" s="23" t="n">
        <v>44966.6666666667</v>
      </c>
      <c r="F446" s="23" t="n">
        <v>44970.25</v>
      </c>
      <c r="G446" s="4" t="n">
        <f aca="false">YEAR(E446)</f>
        <v>2023</v>
      </c>
      <c r="H446" s="4" t="str">
        <f aca="false">IF(E446&lt;DATE(2015,1,1),"2005–2014",IF(E446&lt;DATE(2022,3,5),"2015 – Mar 2022","Mar 2022 – Oct 2026"))</f>
        <v>Mar 2022 – Oct 2026</v>
      </c>
      <c r="I446" s="24" t="n">
        <v>159.383</v>
      </c>
      <c r="J446" s="24" t="n">
        <v>160.157</v>
      </c>
      <c r="K446" s="24" t="n">
        <v>156.962</v>
      </c>
      <c r="L446" s="25" t="n">
        <v>3.131</v>
      </c>
      <c r="M446" s="26" t="n">
        <v>77.334</v>
      </c>
      <c r="N446" s="4" t="s">
        <v>35</v>
      </c>
      <c r="O446" s="27" t="n">
        <v>0.0291</v>
      </c>
      <c r="P446" s="28" t="n">
        <f aca="false">Summary!$C$6*O446</f>
        <v>0.0001455</v>
      </c>
      <c r="Q446" s="29" t="n">
        <f aca="false">Q445*(1+P446)</f>
        <v>15110.8799900087</v>
      </c>
      <c r="R446" s="29" t="n">
        <f aca="false">MAX(R445,Q446)</f>
        <v>15527.5658724658</v>
      </c>
      <c r="S446" s="30" t="n">
        <f aca="false">Q446/R446-1</f>
        <v>-0.0268352352119786</v>
      </c>
      <c r="T446" s="31" t="n">
        <f aca="false">DATE(YEAR(F446),MONTH(F446),1)</f>
        <v>44958</v>
      </c>
    </row>
    <row r="447" customFormat="false" ht="15" hidden="false" customHeight="true" outlineLevel="0" collapsed="false">
      <c r="A447" s="4" t="n">
        <v>446</v>
      </c>
      <c r="B447" s="4" t="s">
        <v>28</v>
      </c>
      <c r="C447" s="4" t="s">
        <v>53</v>
      </c>
      <c r="D447" s="23" t="n">
        <v>44971.9166666667</v>
      </c>
      <c r="E447" s="23" t="n">
        <v>44972.2916666667</v>
      </c>
      <c r="F447" s="23" t="n">
        <v>44973.875</v>
      </c>
      <c r="G447" s="4" t="n">
        <f aca="false">YEAR(E447)</f>
        <v>2023</v>
      </c>
      <c r="H447" s="4" t="str">
        <f aca="false">IF(E447&lt;DATE(2015,1,1),"2005–2014",IF(E447&lt;DATE(2022,3,5),"2015 – Mar 2022","Mar 2022 – Oct 2026"))</f>
        <v>Mar 2022 – Oct 2026</v>
      </c>
      <c r="I447" s="24" t="n">
        <v>161.27</v>
      </c>
      <c r="J447" s="24" t="n">
        <v>160.488</v>
      </c>
      <c r="K447" s="24" t="n">
        <v>164.26</v>
      </c>
      <c r="L447" s="25" t="n">
        <v>3.82</v>
      </c>
      <c r="M447" s="26" t="n">
        <v>78.249</v>
      </c>
      <c r="N447" s="4" t="s">
        <v>34</v>
      </c>
      <c r="O447" s="27" t="n">
        <v>-1.0096</v>
      </c>
      <c r="P447" s="28" t="n">
        <f aca="false">Summary!$C$6*O447</f>
        <v>-0.005048</v>
      </c>
      <c r="Q447" s="29" t="n">
        <f aca="false">Q446*(1+P447)</f>
        <v>15034.6002678191</v>
      </c>
      <c r="R447" s="29" t="n">
        <f aca="false">MAX(R446,Q447)</f>
        <v>15527.5658724658</v>
      </c>
      <c r="S447" s="30" t="n">
        <f aca="false">Q447/R447-1</f>
        <v>-0.0317477709446286</v>
      </c>
      <c r="T447" s="31" t="n">
        <f aca="false">DATE(YEAR(F447),MONTH(F447),1)</f>
        <v>44958</v>
      </c>
    </row>
    <row r="448" customFormat="false" ht="15" hidden="false" customHeight="true" outlineLevel="0" collapsed="false">
      <c r="A448" s="4" t="n">
        <v>447</v>
      </c>
      <c r="B448" s="4" t="s">
        <v>28</v>
      </c>
      <c r="C448" s="4" t="s">
        <v>54</v>
      </c>
      <c r="D448" s="23" t="n">
        <v>44973.9166666667</v>
      </c>
      <c r="E448" s="23" t="n">
        <v>44974.78125</v>
      </c>
      <c r="F448" s="23" t="n">
        <v>44978.3958333333</v>
      </c>
      <c r="G448" s="4" t="n">
        <f aca="false">YEAR(E448)</f>
        <v>2023</v>
      </c>
      <c r="H448" s="4" t="str">
        <f aca="false">IF(E448&lt;DATE(2015,1,1),"2005–2014",IF(E448&lt;DATE(2022,3,5),"2015 – Mar 2022","Mar 2022 – Oct 2026"))</f>
        <v>Mar 2022 – Oct 2026</v>
      </c>
      <c r="I448" s="24" t="n">
        <v>161.491</v>
      </c>
      <c r="J448" s="24" t="n">
        <v>162.232</v>
      </c>
      <c r="K448" s="24" t="n">
        <v>159.065</v>
      </c>
      <c r="L448" s="25" t="n">
        <v>3.274</v>
      </c>
      <c r="M448" s="26" t="n">
        <v>74.103</v>
      </c>
      <c r="N448" s="4" t="s">
        <v>34</v>
      </c>
      <c r="O448" s="27" t="n">
        <v>-1.0101</v>
      </c>
      <c r="P448" s="28" t="n">
        <f aca="false">Summary!$C$6*O448</f>
        <v>-0.0050505</v>
      </c>
      <c r="Q448" s="29" t="n">
        <f aca="false">Q447*(1+P448)</f>
        <v>14958.6680191665</v>
      </c>
      <c r="R448" s="29" t="n">
        <f aca="false">MAX(R447,Q448)</f>
        <v>15527.5658724658</v>
      </c>
      <c r="S448" s="30" t="n">
        <f aca="false">Q448/R448-1</f>
        <v>-0.0366379288274727</v>
      </c>
      <c r="T448" s="31" t="n">
        <f aca="false">DATE(YEAR(F448),MONTH(F448),1)</f>
        <v>44958</v>
      </c>
    </row>
    <row r="449" customFormat="false" ht="15" hidden="false" customHeight="true" outlineLevel="0" collapsed="false">
      <c r="A449" s="4" t="n">
        <v>448</v>
      </c>
      <c r="B449" s="4" t="s">
        <v>28</v>
      </c>
      <c r="C449" s="4" t="s">
        <v>53</v>
      </c>
      <c r="D449" s="23" t="n">
        <v>44978.9166666667</v>
      </c>
      <c r="E449" s="23" t="n">
        <v>44980.7083333333</v>
      </c>
      <c r="F449" s="23" t="n">
        <v>44984.8229166667</v>
      </c>
      <c r="G449" s="4" t="n">
        <f aca="false">YEAR(E449)</f>
        <v>2023</v>
      </c>
      <c r="H449" s="4" t="str">
        <f aca="false">IF(E449&lt;DATE(2015,1,1),"2005–2014",IF(E449&lt;DATE(2022,3,5),"2015 – Mar 2022","Mar 2022 – Oct 2026"))</f>
        <v>Mar 2022 – Oct 2026</v>
      </c>
      <c r="I449" s="24" t="n">
        <v>161.811</v>
      </c>
      <c r="J449" s="24" t="n">
        <v>161.106</v>
      </c>
      <c r="K449" s="24" t="n">
        <v>164.269</v>
      </c>
      <c r="L449" s="25" t="n">
        <v>3.485</v>
      </c>
      <c r="M449" s="26" t="n">
        <v>70.54</v>
      </c>
      <c r="N449" s="4" t="s">
        <v>33</v>
      </c>
      <c r="O449" s="27" t="n">
        <v>3.4846</v>
      </c>
      <c r="P449" s="28" t="n">
        <f aca="false">Summary!$C$6*O449</f>
        <v>0.017423</v>
      </c>
      <c r="Q449" s="29" t="n">
        <f aca="false">Q448*(1+P449)</f>
        <v>15219.2928920645</v>
      </c>
      <c r="R449" s="29" t="n">
        <f aca="false">MAX(R448,Q449)</f>
        <v>15527.5658724658</v>
      </c>
      <c r="S449" s="30" t="n">
        <f aca="false">Q449/R449-1</f>
        <v>-0.0198532714614338</v>
      </c>
      <c r="T449" s="31" t="n">
        <f aca="false">DATE(YEAR(F449),MONTH(F449),1)</f>
        <v>44958</v>
      </c>
    </row>
    <row r="450" customFormat="false" ht="15" hidden="false" customHeight="true" outlineLevel="0" collapsed="false">
      <c r="A450" s="4" t="n">
        <v>449</v>
      </c>
      <c r="B450" s="4" t="s">
        <v>28</v>
      </c>
      <c r="C450" s="4" t="s">
        <v>54</v>
      </c>
      <c r="D450" s="23" t="n">
        <v>44992.9166666667</v>
      </c>
      <c r="E450" s="23" t="n">
        <v>44993.1354166667</v>
      </c>
      <c r="F450" s="23" t="n">
        <v>44993.8645833333</v>
      </c>
      <c r="G450" s="4" t="n">
        <f aca="false">YEAR(E450)</f>
        <v>2023</v>
      </c>
      <c r="H450" s="4" t="str">
        <f aca="false">IF(E450&lt;DATE(2015,1,1),"2005–2014",IF(E450&lt;DATE(2022,3,5),"2015 – Mar 2022","Mar 2022 – Oct 2026"))</f>
        <v>Mar 2022 – Oct 2026</v>
      </c>
      <c r="I450" s="24" t="n">
        <v>162.688</v>
      </c>
      <c r="J450" s="24" t="n">
        <v>163.318</v>
      </c>
      <c r="K450" s="24" t="n">
        <v>160.777</v>
      </c>
      <c r="L450" s="25" t="n">
        <v>3.031</v>
      </c>
      <c r="M450" s="26" t="n">
        <v>63.045</v>
      </c>
      <c r="N450" s="4" t="s">
        <v>35</v>
      </c>
      <c r="O450" s="27" t="n">
        <v>0.0357</v>
      </c>
      <c r="P450" s="28" t="n">
        <f aca="false">Summary!$C$6*O450</f>
        <v>0.0001785</v>
      </c>
      <c r="Q450" s="29" t="n">
        <f aca="false">Q449*(1+P450)</f>
        <v>15222.0095358457</v>
      </c>
      <c r="R450" s="29" t="n">
        <f aca="false">MAX(R449,Q450)</f>
        <v>15527.5658724658</v>
      </c>
      <c r="S450" s="30" t="n">
        <f aca="false">Q450/R450-1</f>
        <v>-0.0196783152703897</v>
      </c>
      <c r="T450" s="31" t="n">
        <f aca="false">DATE(YEAR(F450),MONTH(F450),1)</f>
        <v>44986</v>
      </c>
    </row>
    <row r="451" customFormat="false" ht="15" hidden="false" customHeight="true" outlineLevel="0" collapsed="false">
      <c r="A451" s="4" t="n">
        <v>450</v>
      </c>
      <c r="B451" s="4" t="s">
        <v>27</v>
      </c>
      <c r="C451" s="4" t="s">
        <v>53</v>
      </c>
      <c r="D451" s="23" t="n">
        <v>44993.9166666667</v>
      </c>
      <c r="E451" s="23" t="n">
        <v>44994.84375</v>
      </c>
      <c r="F451" s="23" t="n">
        <v>44995.5625</v>
      </c>
      <c r="G451" s="4" t="n">
        <f aca="false">YEAR(E451)</f>
        <v>2023</v>
      </c>
      <c r="H451" s="4" t="str">
        <f aca="false">IF(E451&lt;DATE(2015,1,1),"2005–2014",IF(E451&lt;DATE(2022,3,5),"2015 – Mar 2022","Mar 2022 – Oct 2026"))</f>
        <v>Mar 2022 – Oct 2026</v>
      </c>
      <c r="I451" s="24" t="n">
        <v>162.137</v>
      </c>
      <c r="J451" s="24" t="n">
        <v>161.514</v>
      </c>
      <c r="K451" s="24" t="n">
        <v>164.236</v>
      </c>
      <c r="L451" s="25" t="n">
        <v>3.37</v>
      </c>
      <c r="M451" s="26" t="n">
        <v>62.279</v>
      </c>
      <c r="N451" s="4" t="s">
        <v>33</v>
      </c>
      <c r="O451" s="27" t="n">
        <v>3.3704</v>
      </c>
      <c r="P451" s="28" t="n">
        <f aca="false">Summary!$C$6*O451</f>
        <v>0.016852</v>
      </c>
      <c r="Q451" s="29" t="n">
        <f aca="false">Q450*(1+P451)</f>
        <v>15478.5308405438</v>
      </c>
      <c r="R451" s="29" t="n">
        <f aca="false">MAX(R450,Q451)</f>
        <v>15527.5658724658</v>
      </c>
      <c r="S451" s="30" t="n">
        <f aca="false">Q451/R451-1</f>
        <v>-0.0031579342393262</v>
      </c>
      <c r="T451" s="31" t="n">
        <f aca="false">DATE(YEAR(F451),MONTH(F451),1)</f>
        <v>44986</v>
      </c>
    </row>
    <row r="452" customFormat="false" ht="15" hidden="false" customHeight="true" outlineLevel="0" collapsed="false">
      <c r="A452" s="4" t="n">
        <v>451</v>
      </c>
      <c r="B452" s="4" t="s">
        <v>28</v>
      </c>
      <c r="C452" s="4" t="s">
        <v>53</v>
      </c>
      <c r="D452" s="23" t="n">
        <v>44995.9166666667</v>
      </c>
      <c r="E452" s="23" t="n">
        <v>44997.8958333333</v>
      </c>
      <c r="F452" s="23" t="n">
        <v>44998.3645833333</v>
      </c>
      <c r="G452" s="4" t="n">
        <f aca="false">YEAR(E452)</f>
        <v>2023</v>
      </c>
      <c r="H452" s="4" t="str">
        <f aca="false">IF(E452&lt;DATE(2015,1,1),"2005–2014",IF(E452&lt;DATE(2022,3,5),"2015 – Mar 2022","Mar 2022 – Oct 2026"))</f>
        <v>Mar 2022 – Oct 2026</v>
      </c>
      <c r="I452" s="24" t="n">
        <v>161.995</v>
      </c>
      <c r="J452" s="24" t="n">
        <v>161.36</v>
      </c>
      <c r="K452" s="24" t="n">
        <v>164.235</v>
      </c>
      <c r="L452" s="25" t="n">
        <v>3.527</v>
      </c>
      <c r="M452" s="26" t="n">
        <v>63.497</v>
      </c>
      <c r="N452" s="4" t="s">
        <v>35</v>
      </c>
      <c r="O452" s="27" t="n">
        <v>0.0354</v>
      </c>
      <c r="P452" s="28" t="n">
        <f aca="false">Summary!$C$6*O452</f>
        <v>0.000177</v>
      </c>
      <c r="Q452" s="29" t="n">
        <f aca="false">Q451*(1+P452)</f>
        <v>15481.2705405025</v>
      </c>
      <c r="R452" s="29" t="n">
        <f aca="false">MAX(R451,Q452)</f>
        <v>15527.5658724658</v>
      </c>
      <c r="S452" s="30" t="n">
        <f aca="false">Q452/R452-1</f>
        <v>-0.00298149319368646</v>
      </c>
      <c r="T452" s="31" t="n">
        <f aca="false">DATE(YEAR(F452),MONTH(F452),1)</f>
        <v>44986</v>
      </c>
    </row>
    <row r="453" customFormat="false" ht="15" hidden="false" customHeight="true" outlineLevel="0" collapsed="false">
      <c r="A453" s="4" t="n">
        <v>452</v>
      </c>
      <c r="B453" s="4" t="s">
        <v>27</v>
      </c>
      <c r="C453" s="4" t="s">
        <v>53</v>
      </c>
      <c r="D453" s="23" t="n">
        <v>44998.9166666667</v>
      </c>
      <c r="E453" s="23" t="n">
        <v>44999.25</v>
      </c>
      <c r="F453" s="23" t="n">
        <v>45000.4166666667</v>
      </c>
      <c r="G453" s="4" t="n">
        <f aca="false">YEAR(E453)</f>
        <v>2023</v>
      </c>
      <c r="H453" s="4" t="str">
        <f aca="false">IF(E453&lt;DATE(2015,1,1),"2005–2014",IF(E453&lt;DATE(2022,3,5),"2015 – Mar 2022","Mar 2022 – Oct 2026"))</f>
        <v>Mar 2022 – Oct 2026</v>
      </c>
      <c r="I453" s="24" t="n">
        <v>162.34</v>
      </c>
      <c r="J453" s="24" t="n">
        <v>161.662</v>
      </c>
      <c r="K453" s="24" t="n">
        <v>165.062</v>
      </c>
      <c r="L453" s="25" t="n">
        <v>4.013</v>
      </c>
      <c r="M453" s="26" t="n">
        <v>67.832</v>
      </c>
      <c r="N453" s="4" t="s">
        <v>35</v>
      </c>
      <c r="O453" s="27" t="n">
        <v>0.0332</v>
      </c>
      <c r="P453" s="28" t="n">
        <f aca="false">Summary!$C$6*O453</f>
        <v>0.000166</v>
      </c>
      <c r="Q453" s="29" t="n">
        <f aca="false">Q452*(1+P453)</f>
        <v>15483.8404314123</v>
      </c>
      <c r="R453" s="29" t="n">
        <f aca="false">MAX(R452,Q453)</f>
        <v>15527.5658724658</v>
      </c>
      <c r="S453" s="30" t="n">
        <f aca="false">Q453/R453-1</f>
        <v>-0.00281598812155648</v>
      </c>
      <c r="T453" s="31" t="n">
        <f aca="false">DATE(YEAR(F453),MONTH(F453),1)</f>
        <v>44986</v>
      </c>
    </row>
    <row r="454" customFormat="false" ht="15" hidden="false" customHeight="true" outlineLevel="0" collapsed="false">
      <c r="A454" s="4" t="n">
        <v>453</v>
      </c>
      <c r="B454" s="4" t="s">
        <v>27</v>
      </c>
      <c r="C454" s="4" t="s">
        <v>53</v>
      </c>
      <c r="D454" s="23" t="n">
        <v>45022.9166666667</v>
      </c>
      <c r="E454" s="23" t="n">
        <v>45023.1041666667</v>
      </c>
      <c r="F454" s="23" t="n">
        <v>45029.3645833333</v>
      </c>
      <c r="G454" s="4" t="n">
        <f aca="false">YEAR(E454)</f>
        <v>2023</v>
      </c>
      <c r="H454" s="4" t="str">
        <f aca="false">IF(E454&lt;DATE(2015,1,1),"2005–2014",IF(E454&lt;DATE(2022,3,5),"2015 – Mar 2022","Mar 2022 – Oct 2026"))</f>
        <v>Mar 2022 – Oct 2026</v>
      </c>
      <c r="I454" s="24" t="n">
        <v>163.888</v>
      </c>
      <c r="J454" s="24" t="n">
        <v>163.099</v>
      </c>
      <c r="K454" s="24" t="n">
        <v>166.721</v>
      </c>
      <c r="L454" s="25" t="n">
        <v>3.592</v>
      </c>
      <c r="M454" s="26" t="n">
        <v>78.872</v>
      </c>
      <c r="N454" s="4" t="s">
        <v>33</v>
      </c>
      <c r="O454" s="27" t="n">
        <v>3.5917</v>
      </c>
      <c r="P454" s="28" t="n">
        <f aca="false">Summary!$C$6*O454</f>
        <v>0.0179585</v>
      </c>
      <c r="Q454" s="29" t="n">
        <f aca="false">Q453*(1+P454)</f>
        <v>15761.9069797998</v>
      </c>
      <c r="R454" s="29" t="n">
        <f aca="false">MAX(R453,Q454)</f>
        <v>15761.9069797998</v>
      </c>
      <c r="S454" s="30" t="n">
        <f aca="false">Q454/R454-1</f>
        <v>0</v>
      </c>
      <c r="T454" s="31" t="n">
        <f aca="false">DATE(YEAR(F454),MONTH(F454),1)</f>
        <v>45017</v>
      </c>
    </row>
    <row r="455" customFormat="false" ht="15" hidden="false" customHeight="true" outlineLevel="0" collapsed="false">
      <c r="A455" s="4" t="n">
        <v>454</v>
      </c>
      <c r="B455" s="4" t="s">
        <v>27</v>
      </c>
      <c r="C455" s="4" t="s">
        <v>53</v>
      </c>
      <c r="D455" s="23" t="n">
        <v>45030.9166666667</v>
      </c>
      <c r="E455" s="23" t="n">
        <v>45033.3333333333</v>
      </c>
      <c r="F455" s="23" t="n">
        <v>45037.2604166667</v>
      </c>
      <c r="G455" s="4" t="n">
        <f aca="false">YEAR(E455)</f>
        <v>2023</v>
      </c>
      <c r="H455" s="4" t="str">
        <f aca="false">IF(E455&lt;DATE(2015,1,1),"2005–2014",IF(E455&lt;DATE(2022,3,5),"2015 – Mar 2022","Mar 2022 – Oct 2026"))</f>
        <v>Mar 2022 – Oct 2026</v>
      </c>
      <c r="I455" s="24" t="n">
        <v>166.112</v>
      </c>
      <c r="J455" s="24" t="n">
        <v>165.435</v>
      </c>
      <c r="K455" s="24" t="n">
        <v>168.199</v>
      </c>
      <c r="L455" s="25" t="n">
        <v>3.081</v>
      </c>
      <c r="M455" s="26" t="n">
        <v>67.749</v>
      </c>
      <c r="N455" s="4" t="s">
        <v>35</v>
      </c>
      <c r="O455" s="27" t="n">
        <v>0.0332</v>
      </c>
      <c r="P455" s="28" t="n">
        <f aca="false">Summary!$C$6*O455</f>
        <v>0.000166</v>
      </c>
      <c r="Q455" s="29" t="n">
        <f aca="false">Q454*(1+P455)</f>
        <v>15764.5234563584</v>
      </c>
      <c r="R455" s="29" t="n">
        <f aca="false">MAX(R454,Q455)</f>
        <v>15764.5234563584</v>
      </c>
      <c r="S455" s="30" t="n">
        <f aca="false">Q455/R455-1</f>
        <v>0</v>
      </c>
      <c r="T455" s="31" t="n">
        <f aca="false">DATE(YEAR(F455),MONTH(F455),1)</f>
        <v>45017</v>
      </c>
    </row>
    <row r="456" customFormat="false" ht="15" hidden="false" customHeight="true" outlineLevel="0" collapsed="false">
      <c r="A456" s="4" t="n">
        <v>455</v>
      </c>
      <c r="B456" s="4" t="s">
        <v>27</v>
      </c>
      <c r="C456" s="4" t="s">
        <v>53</v>
      </c>
      <c r="D456" s="23" t="n">
        <v>45050.9166666667</v>
      </c>
      <c r="E456" s="23" t="n">
        <v>45051.1770833333</v>
      </c>
      <c r="F456" s="23" t="n">
        <v>45057.4895833333</v>
      </c>
      <c r="G456" s="4" t="n">
        <f aca="false">YEAR(E456)</f>
        <v>2023</v>
      </c>
      <c r="H456" s="4" t="str">
        <f aca="false">IF(E456&lt;DATE(2015,1,1),"2005–2014",IF(E456&lt;DATE(2022,3,5),"2015 – Mar 2022","Mar 2022 – Oct 2026"))</f>
        <v>Mar 2022 – Oct 2026</v>
      </c>
      <c r="I456" s="24" t="n">
        <v>168.87</v>
      </c>
      <c r="J456" s="24" t="n">
        <v>168.172</v>
      </c>
      <c r="K456" s="24" t="n">
        <v>171.276</v>
      </c>
      <c r="L456" s="25" t="n">
        <v>3.448</v>
      </c>
      <c r="M456" s="26" t="n">
        <v>69.773</v>
      </c>
      <c r="N456" s="4" t="s">
        <v>35</v>
      </c>
      <c r="O456" s="27" t="n">
        <v>0.0322</v>
      </c>
      <c r="P456" s="28" t="n">
        <f aca="false">Summary!$C$6*O456</f>
        <v>0.000161</v>
      </c>
      <c r="Q456" s="29" t="n">
        <f aca="false">Q455*(1+P456)</f>
        <v>15767.0615446349</v>
      </c>
      <c r="R456" s="29" t="n">
        <f aca="false">MAX(R455,Q456)</f>
        <v>15767.0615446349</v>
      </c>
      <c r="S456" s="30" t="n">
        <f aca="false">Q456/R456-1</f>
        <v>0</v>
      </c>
      <c r="T456" s="31" t="n">
        <f aca="false">DATE(YEAR(F456),MONTH(F456),1)</f>
        <v>45047</v>
      </c>
    </row>
    <row r="457" customFormat="false" ht="15" hidden="false" customHeight="true" outlineLevel="0" collapsed="false">
      <c r="A457" s="4" t="n">
        <v>456</v>
      </c>
      <c r="B457" s="4" t="s">
        <v>28</v>
      </c>
      <c r="C457" s="4" t="s">
        <v>54</v>
      </c>
      <c r="D457" s="23" t="n">
        <v>45057.9166666667</v>
      </c>
      <c r="E457" s="23" t="n">
        <v>45058.28125</v>
      </c>
      <c r="F457" s="23" t="n">
        <v>45061.1458333333</v>
      </c>
      <c r="G457" s="4" t="n">
        <f aca="false">YEAR(E457)</f>
        <v>2023</v>
      </c>
      <c r="H457" s="4" t="str">
        <f aca="false">IF(E457&lt;DATE(2015,1,1),"2005–2014",IF(E457&lt;DATE(2022,3,5),"2015 – Mar 2022","Mar 2022 – Oct 2026"))</f>
        <v>Mar 2022 – Oct 2026</v>
      </c>
      <c r="I457" s="24" t="n">
        <v>168.852</v>
      </c>
      <c r="J457" s="24" t="n">
        <v>169.531</v>
      </c>
      <c r="K457" s="24" t="n">
        <v>166.159</v>
      </c>
      <c r="L457" s="25" t="n">
        <v>3.966</v>
      </c>
      <c r="M457" s="26" t="n">
        <v>67.905</v>
      </c>
      <c r="N457" s="4" t="s">
        <v>34</v>
      </c>
      <c r="O457" s="27" t="n">
        <v>-1.011</v>
      </c>
      <c r="P457" s="28" t="n">
        <f aca="false">Summary!$C$6*O457</f>
        <v>-0.005055</v>
      </c>
      <c r="Q457" s="29" t="n">
        <f aca="false">Q456*(1+P457)</f>
        <v>15687.3590485268</v>
      </c>
      <c r="R457" s="29" t="n">
        <f aca="false">MAX(R456,Q457)</f>
        <v>15767.0615446349</v>
      </c>
      <c r="S457" s="30" t="n">
        <f aca="false">Q457/R457-1</f>
        <v>-0.00505500000000003</v>
      </c>
      <c r="T457" s="31" t="n">
        <f aca="false">DATE(YEAR(F457),MONTH(F457),1)</f>
        <v>45047</v>
      </c>
    </row>
    <row r="458" customFormat="false" ht="15" hidden="false" customHeight="true" outlineLevel="0" collapsed="false">
      <c r="A458" s="4" t="n">
        <v>457</v>
      </c>
      <c r="B458" s="4" t="s">
        <v>27</v>
      </c>
      <c r="C458" s="4" t="s">
        <v>53</v>
      </c>
      <c r="D458" s="23" t="n">
        <v>45170.9166666667</v>
      </c>
      <c r="E458" s="23" t="n">
        <v>45173.0520833333</v>
      </c>
      <c r="F458" s="23" t="n">
        <v>45174.34375</v>
      </c>
      <c r="G458" s="4" t="n">
        <f aca="false">YEAR(E458)</f>
        <v>2023</v>
      </c>
      <c r="H458" s="4" t="str">
        <f aca="false">IF(E458&lt;DATE(2015,1,1),"2005–2014",IF(E458&lt;DATE(2022,3,5),"2015 – Mar 2022","Mar 2022 – Oct 2026"))</f>
        <v>Mar 2022 – Oct 2026</v>
      </c>
      <c r="I458" s="24" t="n">
        <v>184.159</v>
      </c>
      <c r="J458" s="24" t="n">
        <v>183.564</v>
      </c>
      <c r="K458" s="24" t="n">
        <v>186.444</v>
      </c>
      <c r="L458" s="25" t="n">
        <v>3.841</v>
      </c>
      <c r="M458" s="26" t="n">
        <v>59.505</v>
      </c>
      <c r="N458" s="4" t="s">
        <v>35</v>
      </c>
      <c r="O458" s="27" t="n">
        <v>0.0378</v>
      </c>
      <c r="P458" s="28" t="n">
        <f aca="false">Summary!$C$6*O458</f>
        <v>0.000189</v>
      </c>
      <c r="Q458" s="29" t="n">
        <f aca="false">Q457*(1+P458)</f>
        <v>15690.323959387</v>
      </c>
      <c r="R458" s="29" t="n">
        <f aca="false">MAX(R457,Q458)</f>
        <v>15767.0615446349</v>
      </c>
      <c r="S458" s="30" t="n">
        <f aca="false">Q458/R458-1</f>
        <v>-0.00486695539500004</v>
      </c>
      <c r="T458" s="31" t="n">
        <f aca="false">DATE(YEAR(F458),MONTH(F458),1)</f>
        <v>45170</v>
      </c>
    </row>
    <row r="459" customFormat="false" ht="15" hidden="false" customHeight="true" outlineLevel="0" collapsed="false">
      <c r="A459" s="4" t="n">
        <v>458</v>
      </c>
      <c r="B459" s="4" t="s">
        <v>28</v>
      </c>
      <c r="C459" s="4" t="s">
        <v>53</v>
      </c>
      <c r="D459" s="23" t="n">
        <v>45177.9166666667</v>
      </c>
      <c r="E459" s="23" t="n">
        <v>45179.875</v>
      </c>
      <c r="F459" s="23" t="n">
        <v>45179.8958333333</v>
      </c>
      <c r="G459" s="4" t="n">
        <f aca="false">YEAR(E459)</f>
        <v>2023</v>
      </c>
      <c r="H459" s="4" t="str">
        <f aca="false">IF(E459&lt;DATE(2015,1,1),"2005–2014",IF(E459&lt;DATE(2022,3,5),"2015 – Mar 2022","Mar 2022 – Oct 2026"))</f>
        <v>Mar 2022 – Oct 2026</v>
      </c>
      <c r="I459" s="24" t="n">
        <v>183.691</v>
      </c>
      <c r="J459" s="24" t="n">
        <v>183.1</v>
      </c>
      <c r="K459" s="24" t="n">
        <v>185.898</v>
      </c>
      <c r="L459" s="25" t="n">
        <v>3.732</v>
      </c>
      <c r="M459" s="26" t="n">
        <v>59.116</v>
      </c>
      <c r="N459" s="4" t="s">
        <v>34</v>
      </c>
      <c r="O459" s="27" t="n">
        <v>-1.0127</v>
      </c>
      <c r="P459" s="28" t="n">
        <f aca="false">Summary!$C$6*O459</f>
        <v>-0.0050635</v>
      </c>
      <c r="Q459" s="29" t="n">
        <f aca="false">Q458*(1+P459)</f>
        <v>15610.8760040186</v>
      </c>
      <c r="R459" s="29" t="n">
        <f aca="false">MAX(R458,Q459)</f>
        <v>15767.0615446349</v>
      </c>
      <c r="S459" s="30" t="n">
        <f aca="false">Q459/R459-1</f>
        <v>-0.00990581156635739</v>
      </c>
      <c r="T459" s="31" t="n">
        <f aca="false">DATE(YEAR(F459),MONTH(F459),1)</f>
        <v>45170</v>
      </c>
    </row>
    <row r="460" customFormat="false" ht="15" hidden="false" customHeight="true" outlineLevel="0" collapsed="false">
      <c r="A460" s="4" t="n">
        <v>459</v>
      </c>
      <c r="B460" s="4" t="s">
        <v>28</v>
      </c>
      <c r="C460" s="4" t="s">
        <v>54</v>
      </c>
      <c r="D460" s="23" t="n">
        <v>45180.9166666667</v>
      </c>
      <c r="E460" s="23" t="n">
        <v>45182.03125</v>
      </c>
      <c r="F460" s="23" t="n">
        <v>45182.5208333333</v>
      </c>
      <c r="G460" s="4" t="n">
        <f aca="false">YEAR(E460)</f>
        <v>2023</v>
      </c>
      <c r="H460" s="4" t="str">
        <f aca="false">IF(E460&lt;DATE(2015,1,1),"2005–2014",IF(E460&lt;DATE(2022,3,5),"2015 – Mar 2022","Mar 2022 – Oct 2026"))</f>
        <v>Mar 2022 – Oct 2026</v>
      </c>
      <c r="I460" s="24" t="n">
        <v>184.04</v>
      </c>
      <c r="J460" s="24" t="n">
        <v>184.634</v>
      </c>
      <c r="K460" s="24" t="n">
        <v>182.008</v>
      </c>
      <c r="L460" s="25" t="n">
        <v>3.426</v>
      </c>
      <c r="M460" s="26" t="n">
        <v>59.321</v>
      </c>
      <c r="N460" s="4" t="s">
        <v>35</v>
      </c>
      <c r="O460" s="27" t="n">
        <v>0.0379</v>
      </c>
      <c r="P460" s="28" t="n">
        <f aca="false">Summary!$C$6*O460</f>
        <v>0.0001895</v>
      </c>
      <c r="Q460" s="29" t="n">
        <f aca="false">Q459*(1+P460)</f>
        <v>15613.8342650214</v>
      </c>
      <c r="R460" s="29" t="n">
        <f aca="false">MAX(R459,Q460)</f>
        <v>15767.0615446349</v>
      </c>
      <c r="S460" s="30" t="n">
        <f aca="false">Q460/R460-1</f>
        <v>-0.00971818871764918</v>
      </c>
      <c r="T460" s="31" t="n">
        <f aca="false">DATE(YEAR(F460),MONTH(F460),1)</f>
        <v>45170</v>
      </c>
    </row>
    <row r="461" customFormat="false" ht="15" hidden="false" customHeight="true" outlineLevel="0" collapsed="false">
      <c r="A461" s="4" t="n">
        <v>460</v>
      </c>
      <c r="B461" s="4" t="s">
        <v>27</v>
      </c>
      <c r="C461" s="4" t="s">
        <v>53</v>
      </c>
      <c r="D461" s="23" t="n">
        <v>45182.9166666667</v>
      </c>
      <c r="E461" s="23" t="n">
        <v>45183.2291666667</v>
      </c>
      <c r="F461" s="23" t="n">
        <v>45183.5208333333</v>
      </c>
      <c r="G461" s="4" t="n">
        <f aca="false">YEAR(E461)</f>
        <v>2023</v>
      </c>
      <c r="H461" s="4" t="str">
        <f aca="false">IF(E461&lt;DATE(2015,1,1),"2005–2014",IF(E461&lt;DATE(2022,3,5),"2015 – Mar 2022","Mar 2022 – Oct 2026"))</f>
        <v>Mar 2022 – Oct 2026</v>
      </c>
      <c r="I461" s="24" t="n">
        <v>183.942</v>
      </c>
      <c r="J461" s="24" t="n">
        <v>183.368</v>
      </c>
      <c r="K461" s="24" t="n">
        <v>185.9</v>
      </c>
      <c r="L461" s="25" t="n">
        <v>3.412</v>
      </c>
      <c r="M461" s="26" t="n">
        <v>57.385</v>
      </c>
      <c r="N461" s="4" t="s">
        <v>34</v>
      </c>
      <c r="O461" s="27" t="n">
        <v>-1.0131</v>
      </c>
      <c r="P461" s="28" t="n">
        <f aca="false">Summary!$C$6*O461</f>
        <v>-0.0050655</v>
      </c>
      <c r="Q461" s="29" t="n">
        <f aca="false">Q460*(1+P461)</f>
        <v>15534.7423875519</v>
      </c>
      <c r="R461" s="29" t="n">
        <f aca="false">MAX(R460,Q461)</f>
        <v>15767.0615446349</v>
      </c>
      <c r="S461" s="30" t="n">
        <f aca="false">Q461/R461-1</f>
        <v>-0.0147344612326999</v>
      </c>
      <c r="T461" s="31" t="n">
        <f aca="false">DATE(YEAR(F461),MONTH(F461),1)</f>
        <v>45170</v>
      </c>
    </row>
    <row r="462" customFormat="false" ht="15" hidden="false" customHeight="true" outlineLevel="0" collapsed="false">
      <c r="A462" s="4" t="n">
        <v>461</v>
      </c>
      <c r="B462" s="4" t="s">
        <v>27</v>
      </c>
      <c r="C462" s="4" t="s">
        <v>54</v>
      </c>
      <c r="D462" s="23" t="n">
        <v>45184.9166666667</v>
      </c>
      <c r="E462" s="23" t="n">
        <v>45187.3958333333</v>
      </c>
      <c r="F462" s="23" t="n">
        <v>45198.4583333333</v>
      </c>
      <c r="G462" s="4" t="n">
        <f aca="false">YEAR(E462)</f>
        <v>2023</v>
      </c>
      <c r="H462" s="4" t="str">
        <f aca="false">IF(E462&lt;DATE(2015,1,1),"2005–2014",IF(E462&lt;DATE(2022,3,5),"2015 – Mar 2022","Mar 2022 – Oct 2026"))</f>
        <v>Mar 2022 – Oct 2026</v>
      </c>
      <c r="I462" s="24" t="n">
        <v>182.989</v>
      </c>
      <c r="J462" s="24" t="n">
        <v>183.56</v>
      </c>
      <c r="K462" s="24" t="n">
        <v>180.775</v>
      </c>
      <c r="L462" s="25" t="n">
        <v>3.88</v>
      </c>
      <c r="M462" s="26" t="n">
        <v>57.075</v>
      </c>
      <c r="N462" s="4" t="s">
        <v>35</v>
      </c>
      <c r="O462" s="27" t="n">
        <v>0.0394</v>
      </c>
      <c r="P462" s="28" t="n">
        <f aca="false">Summary!$C$6*O462</f>
        <v>0.000197</v>
      </c>
      <c r="Q462" s="29" t="n">
        <f aca="false">Q461*(1+P462)</f>
        <v>15537.8027318022</v>
      </c>
      <c r="R462" s="29" t="n">
        <f aca="false">MAX(R461,Q462)</f>
        <v>15767.0615446349</v>
      </c>
      <c r="S462" s="30" t="n">
        <f aca="false">Q462/R462-1</f>
        <v>-0.0145403639215628</v>
      </c>
      <c r="T462" s="31" t="n">
        <f aca="false">DATE(YEAR(F462),MONTH(F462),1)</f>
        <v>45170</v>
      </c>
    </row>
    <row r="463" customFormat="false" ht="15" hidden="false" customHeight="true" outlineLevel="0" collapsed="false">
      <c r="A463" s="4" t="n">
        <v>462</v>
      </c>
      <c r="B463" s="4" t="s">
        <v>28</v>
      </c>
      <c r="C463" s="4" t="s">
        <v>53</v>
      </c>
      <c r="D463" s="23" t="n">
        <v>45205.9166666667</v>
      </c>
      <c r="E463" s="23" t="n">
        <v>45207.875</v>
      </c>
      <c r="F463" s="23" t="n">
        <v>45208.6041666667</v>
      </c>
      <c r="G463" s="4" t="n">
        <f aca="false">YEAR(E463)</f>
        <v>2023</v>
      </c>
      <c r="H463" s="4" t="str">
        <f aca="false">IF(E463&lt;DATE(2015,1,1),"2005–2014",IF(E463&lt;DATE(2022,3,5),"2015 – Mar 2022","Mar 2022 – Oct 2026"))</f>
        <v>Mar 2022 – Oct 2026</v>
      </c>
      <c r="I463" s="24" t="n">
        <v>181.969</v>
      </c>
      <c r="J463" s="24" t="n">
        <v>181.386</v>
      </c>
      <c r="K463" s="24" t="n">
        <v>183.729</v>
      </c>
      <c r="L463" s="25" t="n">
        <v>3.021</v>
      </c>
      <c r="M463" s="26" t="n">
        <v>58.264</v>
      </c>
      <c r="N463" s="4" t="s">
        <v>34</v>
      </c>
      <c r="O463" s="27" t="n">
        <v>-1.0129</v>
      </c>
      <c r="P463" s="28" t="n">
        <f aca="false">Summary!$C$6*O463</f>
        <v>-0.0050645</v>
      </c>
      <c r="Q463" s="29" t="n">
        <f aca="false">Q462*(1+P463)</f>
        <v>15459.111529867</v>
      </c>
      <c r="R463" s="29" t="n">
        <f aca="false">MAX(R462,Q463)</f>
        <v>15767.0615446349</v>
      </c>
      <c r="S463" s="30" t="n">
        <f aca="false">Q463/R463-1</f>
        <v>-0.0195312242484821</v>
      </c>
      <c r="T463" s="31" t="n">
        <f aca="false">DATE(YEAR(F463),MONTH(F463),1)</f>
        <v>45200</v>
      </c>
    </row>
    <row r="464" customFormat="false" ht="15" hidden="false" customHeight="true" outlineLevel="0" collapsed="false">
      <c r="A464" s="4" t="n">
        <v>463</v>
      </c>
      <c r="B464" s="4" t="s">
        <v>28</v>
      </c>
      <c r="C464" s="4" t="s">
        <v>54</v>
      </c>
      <c r="D464" s="23" t="n">
        <v>45208.9166666667</v>
      </c>
      <c r="E464" s="23" t="n">
        <v>45209.34375</v>
      </c>
      <c r="F464" s="23" t="n">
        <v>45210.1041666667</v>
      </c>
      <c r="G464" s="4" t="n">
        <f aca="false">YEAR(E464)</f>
        <v>2023</v>
      </c>
      <c r="H464" s="4" t="str">
        <f aca="false">IF(E464&lt;DATE(2015,1,1),"2005–2014",IF(E464&lt;DATE(2022,3,5),"2015 – Mar 2022","Mar 2022 – Oct 2026"))</f>
        <v>Mar 2022 – Oct 2026</v>
      </c>
      <c r="I464" s="24" t="n">
        <v>182.311</v>
      </c>
      <c r="J464" s="24" t="n">
        <v>182.895</v>
      </c>
      <c r="K464" s="24" t="n">
        <v>180.321</v>
      </c>
      <c r="L464" s="25" t="n">
        <v>3.405</v>
      </c>
      <c r="M464" s="26" t="n">
        <v>58.419</v>
      </c>
      <c r="N464" s="4" t="s">
        <v>34</v>
      </c>
      <c r="O464" s="27" t="n">
        <v>-1.0128</v>
      </c>
      <c r="P464" s="28" t="n">
        <f aca="false">Summary!$C$6*O464</f>
        <v>-0.005064</v>
      </c>
      <c r="Q464" s="29" t="n">
        <f aca="false">Q463*(1+P464)</f>
        <v>15380.8265890798</v>
      </c>
      <c r="R464" s="29" t="n">
        <f aca="false">MAX(R463,Q464)</f>
        <v>15767.0615446349</v>
      </c>
      <c r="S464" s="30" t="n">
        <f aca="false">Q464/R464-1</f>
        <v>-0.0244963181288876</v>
      </c>
      <c r="T464" s="31" t="n">
        <f aca="false">DATE(YEAR(F464),MONTH(F464),1)</f>
        <v>45200</v>
      </c>
    </row>
    <row r="465" customFormat="false" ht="15" hidden="false" customHeight="true" outlineLevel="0" collapsed="false">
      <c r="A465" s="4" t="n">
        <v>464</v>
      </c>
      <c r="B465" s="4" t="s">
        <v>28</v>
      </c>
      <c r="C465" s="4" t="s">
        <v>54</v>
      </c>
      <c r="D465" s="23" t="n">
        <v>45212.9166666667</v>
      </c>
      <c r="E465" s="23" t="n">
        <v>45215.6041666667</v>
      </c>
      <c r="F465" s="23" t="n">
        <v>45216.5833333333</v>
      </c>
      <c r="G465" s="4" t="n">
        <f aca="false">YEAR(E465)</f>
        <v>2023</v>
      </c>
      <c r="H465" s="4" t="str">
        <f aca="false">IF(E465&lt;DATE(2015,1,1),"2005–2014",IF(E465&lt;DATE(2022,3,5),"2015 – Mar 2022","Mar 2022 – Oct 2026"))</f>
        <v>Mar 2022 – Oct 2026</v>
      </c>
      <c r="I465" s="24" t="n">
        <v>182.292</v>
      </c>
      <c r="J465" s="24" t="n">
        <v>182.877</v>
      </c>
      <c r="K465" s="24" t="n">
        <v>180.321</v>
      </c>
      <c r="L465" s="25" t="n">
        <v>3.369</v>
      </c>
      <c r="M465" s="26" t="n">
        <v>58.482</v>
      </c>
      <c r="N465" s="4" t="s">
        <v>35</v>
      </c>
      <c r="O465" s="27" t="n">
        <v>0.0385</v>
      </c>
      <c r="P465" s="28" t="n">
        <f aca="false">Summary!$C$6*O465</f>
        <v>0.0001925</v>
      </c>
      <c r="Q465" s="29" t="n">
        <f aca="false">Q464*(1+P465)</f>
        <v>15383.7873981982</v>
      </c>
      <c r="R465" s="29" t="n">
        <f aca="false">MAX(R464,Q465)</f>
        <v>15767.0615446349</v>
      </c>
      <c r="S465" s="30" t="n">
        <f aca="false">Q465/R465-1</f>
        <v>-0.0243085336701275</v>
      </c>
      <c r="T465" s="31" t="n">
        <f aca="false">DATE(YEAR(F465),MONTH(F465),1)</f>
        <v>45200</v>
      </c>
    </row>
    <row r="466" customFormat="false" ht="15" hidden="false" customHeight="true" outlineLevel="0" collapsed="false">
      <c r="A466" s="4" t="n">
        <v>465</v>
      </c>
      <c r="B466" s="4" t="s">
        <v>27</v>
      </c>
      <c r="C466" s="4" t="s">
        <v>53</v>
      </c>
      <c r="D466" s="23" t="n">
        <v>45216.9166666667</v>
      </c>
      <c r="E466" s="23" t="n">
        <v>45217.2395833333</v>
      </c>
      <c r="F466" s="23" t="n">
        <v>45218</v>
      </c>
      <c r="G466" s="4" t="n">
        <f aca="false">YEAR(E466)</f>
        <v>2023</v>
      </c>
      <c r="H466" s="4" t="str">
        <f aca="false">IF(E466&lt;DATE(2015,1,1),"2005–2014",IF(E466&lt;DATE(2022,3,5),"2015 – Mar 2022","Mar 2022 – Oct 2026"))</f>
        <v>Mar 2022 – Oct 2026</v>
      </c>
      <c r="I466" s="24" t="n">
        <v>182.318</v>
      </c>
      <c r="J466" s="24" t="n">
        <v>181.73</v>
      </c>
      <c r="K466" s="24" t="n">
        <v>185.898</v>
      </c>
      <c r="L466" s="25" t="n">
        <v>6.09</v>
      </c>
      <c r="M466" s="26" t="n">
        <v>58.794</v>
      </c>
      <c r="N466" s="4" t="s">
        <v>34</v>
      </c>
      <c r="O466" s="27" t="n">
        <v>-1.0128</v>
      </c>
      <c r="P466" s="28" t="n">
        <f aca="false">Summary!$C$6*O466</f>
        <v>-0.005064</v>
      </c>
      <c r="Q466" s="29" t="n">
        <f aca="false">Q465*(1+P466)</f>
        <v>15305.8838988137</v>
      </c>
      <c r="R466" s="29" t="n">
        <f aca="false">MAX(R465,Q466)</f>
        <v>15767.0615446349</v>
      </c>
      <c r="S466" s="30" t="n">
        <f aca="false">Q466/R466-1</f>
        <v>-0.0292494352556218</v>
      </c>
      <c r="T466" s="31" t="n">
        <f aca="false">DATE(YEAR(F466),MONTH(F466),1)</f>
        <v>45200</v>
      </c>
    </row>
    <row r="467" customFormat="false" ht="15" hidden="false" customHeight="true" outlineLevel="0" collapsed="false">
      <c r="A467" s="4" t="n">
        <v>466</v>
      </c>
      <c r="B467" s="4" t="s">
        <v>27</v>
      </c>
      <c r="C467" s="4" t="s">
        <v>54</v>
      </c>
      <c r="D467" s="23" t="n">
        <v>45218.9166666667</v>
      </c>
      <c r="E467" s="23" t="n">
        <v>45219.3645833333</v>
      </c>
      <c r="F467" s="23" t="n">
        <v>45219.7291666667</v>
      </c>
      <c r="G467" s="4" t="n">
        <f aca="false">YEAR(E467)</f>
        <v>2023</v>
      </c>
      <c r="H467" s="4" t="str">
        <f aca="false">IF(E467&lt;DATE(2015,1,1),"2005–2014",IF(E467&lt;DATE(2022,3,5),"2015 – Mar 2022","Mar 2022 – Oct 2026"))</f>
        <v>Mar 2022 – Oct 2026</v>
      </c>
      <c r="I467" s="24" t="n">
        <v>181.802</v>
      </c>
      <c r="J467" s="24" t="n">
        <v>182.375</v>
      </c>
      <c r="K467" s="24" t="n">
        <v>180.07</v>
      </c>
      <c r="L467" s="25" t="n">
        <v>3.025</v>
      </c>
      <c r="M467" s="26" t="n">
        <v>57.264</v>
      </c>
      <c r="N467" s="4" t="s">
        <v>34</v>
      </c>
      <c r="O467" s="27" t="n">
        <v>-1.0131</v>
      </c>
      <c r="P467" s="28" t="n">
        <f aca="false">Summary!$C$6*O467</f>
        <v>-0.0050655</v>
      </c>
      <c r="Q467" s="29" t="n">
        <f aca="false">Q466*(1+P467)</f>
        <v>15228.3519439243</v>
      </c>
      <c r="R467" s="29" t="n">
        <f aca="false">MAX(R466,Q467)</f>
        <v>15767.0615446349</v>
      </c>
      <c r="S467" s="30" t="n">
        <f aca="false">Q467/R467-1</f>
        <v>-0.0341667722413345</v>
      </c>
      <c r="T467" s="31" t="n">
        <f aca="false">DATE(YEAR(F467),MONTH(F467),1)</f>
        <v>45200</v>
      </c>
    </row>
    <row r="468" customFormat="false" ht="15" hidden="false" customHeight="true" outlineLevel="0" collapsed="false">
      <c r="A468" s="4" t="n">
        <v>467</v>
      </c>
      <c r="B468" s="4" t="s">
        <v>27</v>
      </c>
      <c r="C468" s="4" t="s">
        <v>53</v>
      </c>
      <c r="D468" s="23" t="n">
        <v>45219.9166666667</v>
      </c>
      <c r="E468" s="23" t="n">
        <v>45221.9895833333</v>
      </c>
      <c r="F468" s="23" t="n">
        <v>45223.6354166667</v>
      </c>
      <c r="G468" s="4" t="n">
        <f aca="false">YEAR(E468)</f>
        <v>2023</v>
      </c>
      <c r="H468" s="4" t="str">
        <f aca="false">IF(E468&lt;DATE(2015,1,1),"2005–2014",IF(E468&lt;DATE(2022,3,5),"2015 – Mar 2022","Mar 2022 – Oct 2026"))</f>
        <v>Mar 2022 – Oct 2026</v>
      </c>
      <c r="I468" s="24" t="n">
        <v>182.297</v>
      </c>
      <c r="J468" s="24" t="n">
        <v>181.734</v>
      </c>
      <c r="K468" s="24" t="n">
        <v>184.003</v>
      </c>
      <c r="L468" s="25" t="n">
        <v>3.03</v>
      </c>
      <c r="M468" s="26" t="n">
        <v>56.322</v>
      </c>
      <c r="N468" s="4" t="s">
        <v>35</v>
      </c>
      <c r="O468" s="27" t="n">
        <v>0.0399</v>
      </c>
      <c r="P468" s="28" t="n">
        <f aca="false">Summary!$C$6*O468</f>
        <v>0.0001995</v>
      </c>
      <c r="Q468" s="29" t="n">
        <f aca="false">Q467*(1+P468)</f>
        <v>15231.3900001371</v>
      </c>
      <c r="R468" s="29" t="n">
        <f aca="false">MAX(R467,Q468)</f>
        <v>15767.0615446349</v>
      </c>
      <c r="S468" s="30" t="n">
        <f aca="false">Q468/R468-1</f>
        <v>-0.0339740885123967</v>
      </c>
      <c r="T468" s="31" t="n">
        <f aca="false">DATE(YEAR(F468),MONTH(F468),1)</f>
        <v>45200</v>
      </c>
    </row>
    <row r="469" customFormat="false" ht="15" hidden="false" customHeight="true" outlineLevel="0" collapsed="false">
      <c r="A469" s="4" t="n">
        <v>468</v>
      </c>
      <c r="B469" s="4" t="s">
        <v>28</v>
      </c>
      <c r="C469" s="4" t="s">
        <v>54</v>
      </c>
      <c r="D469" s="23" t="n">
        <v>45224.9166666667</v>
      </c>
      <c r="E469" s="23" t="n">
        <v>45225.6145833333</v>
      </c>
      <c r="F469" s="23" t="n">
        <v>45230.1770833333</v>
      </c>
      <c r="G469" s="4" t="n">
        <f aca="false">YEAR(E469)</f>
        <v>2023</v>
      </c>
      <c r="H469" s="4" t="str">
        <f aca="false">IF(E469&lt;DATE(2015,1,1),"2005–2014",IF(E469&lt;DATE(2022,3,5),"2015 – Mar 2022","Mar 2022 – Oct 2026"))</f>
        <v>Mar 2022 – Oct 2026</v>
      </c>
      <c r="I469" s="24" t="n">
        <v>182.279</v>
      </c>
      <c r="J469" s="24" t="n">
        <v>182.835</v>
      </c>
      <c r="K469" s="24" t="n">
        <v>180.318</v>
      </c>
      <c r="L469" s="25" t="n">
        <v>3.533</v>
      </c>
      <c r="M469" s="26" t="n">
        <v>55.523</v>
      </c>
      <c r="N469" s="4" t="s">
        <v>35</v>
      </c>
      <c r="O469" s="27" t="n">
        <v>0.0405</v>
      </c>
      <c r="P469" s="28" t="n">
        <f aca="false">Summary!$C$6*O469</f>
        <v>0.0002025</v>
      </c>
      <c r="Q469" s="29" t="n">
        <f aca="false">Q468*(1+P469)</f>
        <v>15234.4743566121</v>
      </c>
      <c r="R469" s="29" t="n">
        <f aca="false">MAX(R468,Q469)</f>
        <v>15767.0615446349</v>
      </c>
      <c r="S469" s="30" t="n">
        <f aca="false">Q469/R469-1</f>
        <v>-0.0337784682653204</v>
      </c>
      <c r="T469" s="31" t="n">
        <f aca="false">DATE(YEAR(F469),MONTH(F469),1)</f>
        <v>45200</v>
      </c>
    </row>
    <row r="470" customFormat="false" ht="15" hidden="false" customHeight="true" outlineLevel="0" collapsed="false">
      <c r="A470" s="4" t="n">
        <v>469</v>
      </c>
      <c r="B470" s="4" t="s">
        <v>28</v>
      </c>
      <c r="C470" s="4" t="s">
        <v>53</v>
      </c>
      <c r="D470" s="23" t="n">
        <v>45230.9166666667</v>
      </c>
      <c r="E470" s="23" t="n">
        <v>45231.0416666667</v>
      </c>
      <c r="F470" s="23" t="n">
        <v>45231.5625</v>
      </c>
      <c r="G470" s="4" t="n">
        <f aca="false">YEAR(E470)</f>
        <v>2023</v>
      </c>
      <c r="H470" s="4" t="str">
        <f aca="false">IF(E470&lt;DATE(2015,1,1),"2005–2014",IF(E470&lt;DATE(2022,3,5),"2015 – Mar 2022","Mar 2022 – Oct 2026"))</f>
        <v>Mar 2022 – Oct 2026</v>
      </c>
      <c r="I470" s="24" t="n">
        <v>183.685</v>
      </c>
      <c r="J470" s="24" t="n">
        <v>183.084</v>
      </c>
      <c r="K470" s="24" t="n">
        <v>185.897</v>
      </c>
      <c r="L470" s="25" t="n">
        <v>3.676</v>
      </c>
      <c r="M470" s="26" t="n">
        <v>60.153</v>
      </c>
      <c r="N470" s="4" t="s">
        <v>34</v>
      </c>
      <c r="O470" s="27" t="n">
        <v>-1.0125</v>
      </c>
      <c r="P470" s="28" t="n">
        <f aca="false">Summary!$C$6*O470</f>
        <v>-0.0050625</v>
      </c>
      <c r="Q470" s="29" t="n">
        <f aca="false">Q469*(1+P470)</f>
        <v>15157.3498301818</v>
      </c>
      <c r="R470" s="29" t="n">
        <f aca="false">MAX(R469,Q470)</f>
        <v>15767.0615446349</v>
      </c>
      <c r="S470" s="30" t="n">
        <f aca="false">Q470/R470-1</f>
        <v>-0.0386699647697272</v>
      </c>
      <c r="T470" s="31" t="n">
        <f aca="false">DATE(YEAR(F470),MONTH(F470),1)</f>
        <v>45231</v>
      </c>
    </row>
    <row r="471" customFormat="false" ht="15" hidden="false" customHeight="true" outlineLevel="0" collapsed="false">
      <c r="A471" s="4" t="n">
        <v>470</v>
      </c>
      <c r="B471" s="4" t="s">
        <v>27</v>
      </c>
      <c r="C471" s="4" t="s">
        <v>53</v>
      </c>
      <c r="D471" s="23" t="n">
        <v>45231.9166666667</v>
      </c>
      <c r="E471" s="23" t="n">
        <v>45232.4166666667</v>
      </c>
      <c r="F471" s="23" t="n">
        <v>45236.4791666667</v>
      </c>
      <c r="G471" s="4" t="n">
        <f aca="false">YEAR(E471)</f>
        <v>2023</v>
      </c>
      <c r="H471" s="4" t="str">
        <f aca="false">IF(E471&lt;DATE(2015,1,1),"2005–2014",IF(E471&lt;DATE(2022,3,5),"2015 – Mar 2022","Mar 2022 – Oct 2026"))</f>
        <v>Mar 2022 – Oct 2026</v>
      </c>
      <c r="I471" s="24" t="n">
        <v>183.124</v>
      </c>
      <c r="J471" s="24" t="n">
        <v>182.526</v>
      </c>
      <c r="K471" s="24" t="n">
        <v>185.897</v>
      </c>
      <c r="L471" s="25" t="n">
        <v>4.639</v>
      </c>
      <c r="M471" s="26" t="n">
        <v>59.78</v>
      </c>
      <c r="N471" s="4" t="s">
        <v>33</v>
      </c>
      <c r="O471" s="27" t="n">
        <v>4.6388</v>
      </c>
      <c r="P471" s="28" t="n">
        <f aca="false">Summary!$C$6*O471</f>
        <v>0.023194</v>
      </c>
      <c r="Q471" s="29" t="n">
        <f aca="false">Q470*(1+P471)</f>
        <v>15508.909402143</v>
      </c>
      <c r="R471" s="29" t="n">
        <f aca="false">MAX(R470,Q471)</f>
        <v>15767.0615446349</v>
      </c>
      <c r="S471" s="30" t="n">
        <f aca="false">Q471/R471-1</f>
        <v>-0.0163728759325963</v>
      </c>
      <c r="T471" s="31" t="n">
        <f aca="false">DATE(YEAR(F471),MONTH(F471),1)</f>
        <v>45231</v>
      </c>
    </row>
    <row r="472" customFormat="false" ht="15" hidden="false" customHeight="true" outlineLevel="0" collapsed="false">
      <c r="A472" s="4" t="n">
        <v>471</v>
      </c>
      <c r="B472" s="4" t="s">
        <v>27</v>
      </c>
      <c r="C472" s="4" t="s">
        <v>53</v>
      </c>
      <c r="D472" s="23" t="n">
        <v>45264.9166666667</v>
      </c>
      <c r="E472" s="23" t="n">
        <v>45266.2916666667</v>
      </c>
      <c r="F472" s="23" t="n">
        <v>45266.9895833333</v>
      </c>
      <c r="G472" s="4" t="n">
        <f aca="false">YEAR(E472)</f>
        <v>2023</v>
      </c>
      <c r="H472" s="4" t="str">
        <f aca="false">IF(E472&lt;DATE(2015,1,1),"2005–2014",IF(E472&lt;DATE(2022,3,5),"2015 – Mar 2022","Mar 2022 – Oct 2026"))</f>
        <v>Mar 2022 – Oct 2026</v>
      </c>
      <c r="I472" s="24" t="n">
        <v>185.408</v>
      </c>
      <c r="J472" s="24" t="n">
        <v>184.859</v>
      </c>
      <c r="K472" s="24" t="n">
        <v>187.909</v>
      </c>
      <c r="L472" s="25" t="n">
        <v>4.552</v>
      </c>
      <c r="M472" s="26" t="n">
        <v>54.944</v>
      </c>
      <c r="N472" s="4" t="s">
        <v>34</v>
      </c>
      <c r="O472" s="27" t="n">
        <v>-1.0137</v>
      </c>
      <c r="P472" s="28" t="n">
        <f aca="false">Summary!$C$6*O472</f>
        <v>-0.0050685</v>
      </c>
      <c r="Q472" s="29" t="n">
        <f aca="false">Q471*(1+P472)</f>
        <v>15430.3024948382</v>
      </c>
      <c r="R472" s="29" t="n">
        <f aca="false">MAX(R471,Q472)</f>
        <v>15767.0615446349</v>
      </c>
      <c r="S472" s="30" t="n">
        <f aca="false">Q472/R472-1</f>
        <v>-0.021358390010932</v>
      </c>
      <c r="T472" s="31" t="n">
        <f aca="false">DATE(YEAR(F472),MONTH(F472),1)</f>
        <v>45261</v>
      </c>
    </row>
    <row r="473" customFormat="false" ht="15" hidden="false" customHeight="true" outlineLevel="0" collapsed="false">
      <c r="A473" s="4" t="n">
        <v>472</v>
      </c>
      <c r="B473" s="4" t="s">
        <v>28</v>
      </c>
      <c r="C473" s="4" t="s">
        <v>53</v>
      </c>
      <c r="D473" s="23" t="n">
        <v>45271.9166666667</v>
      </c>
      <c r="E473" s="23" t="n">
        <v>45273.7395833333</v>
      </c>
      <c r="F473" s="23" t="n">
        <v>45273.8125</v>
      </c>
      <c r="G473" s="4" t="n">
        <f aca="false">YEAR(E473)</f>
        <v>2023</v>
      </c>
      <c r="H473" s="4" t="str">
        <f aca="false">IF(E473&lt;DATE(2015,1,1),"2005–2014",IF(E473&lt;DATE(2022,3,5),"2015 – Mar 2022","Mar 2022 – Oct 2026"))</f>
        <v>Mar 2022 – Oct 2026</v>
      </c>
      <c r="I473" s="24" t="n">
        <v>181.61</v>
      </c>
      <c r="J473" s="24" t="n">
        <v>180.879</v>
      </c>
      <c r="K473" s="24" t="n">
        <v>183.983</v>
      </c>
      <c r="L473" s="25" t="n">
        <v>3.244</v>
      </c>
      <c r="M473" s="26" t="n">
        <v>73.144</v>
      </c>
      <c r="N473" s="4" t="s">
        <v>34</v>
      </c>
      <c r="O473" s="27" t="n">
        <v>-1.0103</v>
      </c>
      <c r="P473" s="28" t="n">
        <f aca="false">Summary!$C$6*O473</f>
        <v>-0.0050515</v>
      </c>
      <c r="Q473" s="29" t="n">
        <f aca="false">Q472*(1+P473)</f>
        <v>15352.3563217856</v>
      </c>
      <c r="R473" s="29" t="n">
        <f aca="false">MAX(R472,Q473)</f>
        <v>15767.0615446349</v>
      </c>
      <c r="S473" s="30" t="n">
        <f aca="false">Q473/R473-1</f>
        <v>-0.0263019981037916</v>
      </c>
      <c r="T473" s="31" t="n">
        <f aca="false">DATE(YEAR(F473),MONTH(F473),1)</f>
        <v>45261</v>
      </c>
    </row>
    <row r="474" customFormat="false" ht="15" hidden="false" customHeight="true" outlineLevel="0" collapsed="false">
      <c r="A474" s="4" t="n">
        <v>473</v>
      </c>
      <c r="B474" s="4" t="s">
        <v>28</v>
      </c>
      <c r="C474" s="4" t="s">
        <v>53</v>
      </c>
      <c r="D474" s="23" t="n">
        <v>45287.9166666667</v>
      </c>
      <c r="E474" s="23" t="n">
        <v>45288.2916666667</v>
      </c>
      <c r="F474" s="23" t="n">
        <v>45288.4375</v>
      </c>
      <c r="G474" s="4" t="n">
        <f aca="false">YEAR(E474)</f>
        <v>2023</v>
      </c>
      <c r="H474" s="4" t="str">
        <f aca="false">IF(E474&lt;DATE(2015,1,1),"2005–2014",IF(E474&lt;DATE(2022,3,5),"2015 – Mar 2022","Mar 2022 – Oct 2026"))</f>
        <v>Mar 2022 – Oct 2026</v>
      </c>
      <c r="I474" s="24" t="n">
        <v>180.711</v>
      </c>
      <c r="J474" s="24" t="n">
        <v>179.963</v>
      </c>
      <c r="K474" s="24" t="n">
        <v>183.052</v>
      </c>
      <c r="L474" s="25" t="n">
        <v>3.13</v>
      </c>
      <c r="M474" s="26" t="n">
        <v>74.802</v>
      </c>
      <c r="N474" s="4" t="s">
        <v>34</v>
      </c>
      <c r="O474" s="27" t="n">
        <v>-1.01</v>
      </c>
      <c r="P474" s="28" t="n">
        <f aca="false">Summary!$C$6*O474</f>
        <v>-0.00505</v>
      </c>
      <c r="Q474" s="29" t="n">
        <f aca="false">Q473*(1+P474)</f>
        <v>15274.8269223605</v>
      </c>
      <c r="R474" s="29" t="n">
        <f aca="false">MAX(R473,Q474)</f>
        <v>15767.0615446349</v>
      </c>
      <c r="S474" s="30" t="n">
        <f aca="false">Q474/R474-1</f>
        <v>-0.0312191730133675</v>
      </c>
      <c r="T474" s="31" t="n">
        <f aca="false">DATE(YEAR(F474),MONTH(F474),1)</f>
        <v>45261</v>
      </c>
    </row>
    <row r="475" customFormat="false" ht="15" hidden="false" customHeight="true" outlineLevel="0" collapsed="false">
      <c r="A475" s="4" t="n">
        <v>474</v>
      </c>
      <c r="B475" s="4" t="s">
        <v>27</v>
      </c>
      <c r="C475" s="4" t="s">
        <v>53</v>
      </c>
      <c r="D475" s="23" t="n">
        <v>45288.9166666667</v>
      </c>
      <c r="E475" s="23" t="n">
        <v>45289.0729166667</v>
      </c>
      <c r="F475" s="23" t="n">
        <v>45289.6666666667</v>
      </c>
      <c r="G475" s="4" t="n">
        <f aca="false">YEAR(E475)</f>
        <v>2023</v>
      </c>
      <c r="H475" s="4" t="str">
        <f aca="false">IF(E475&lt;DATE(2015,1,1),"2005–2014",IF(E475&lt;DATE(2022,3,5),"2015 – Mar 2022","Mar 2022 – Oct 2026"))</f>
        <v>Mar 2022 – Oct 2026</v>
      </c>
      <c r="I475" s="24" t="n">
        <v>180.255</v>
      </c>
      <c r="J475" s="24" t="n">
        <v>179.486</v>
      </c>
      <c r="K475" s="24" t="n">
        <v>182.576</v>
      </c>
      <c r="L475" s="25" t="n">
        <v>3.02</v>
      </c>
      <c r="M475" s="26" t="n">
        <v>76.868</v>
      </c>
      <c r="N475" s="4" t="s">
        <v>34</v>
      </c>
      <c r="O475" s="27" t="n">
        <v>-1.0098</v>
      </c>
      <c r="P475" s="28" t="n">
        <f aca="false">Summary!$C$6*O475</f>
        <v>-0.005049</v>
      </c>
      <c r="Q475" s="29" t="n">
        <f aca="false">Q474*(1+P475)</f>
        <v>15197.7043212295</v>
      </c>
      <c r="R475" s="29" t="n">
        <f aca="false">MAX(R474,Q475)</f>
        <v>15767.0615446349</v>
      </c>
      <c r="S475" s="30" t="n">
        <f aca="false">Q475/R475-1</f>
        <v>-0.0361105474088229</v>
      </c>
      <c r="T475" s="31" t="n">
        <f aca="false">DATE(YEAR(F475),MONTH(F475),1)</f>
        <v>45261</v>
      </c>
    </row>
    <row r="476" customFormat="false" ht="15" hidden="false" customHeight="true" outlineLevel="0" collapsed="false">
      <c r="A476" s="4" t="n">
        <v>475</v>
      </c>
      <c r="B476" s="4" t="s">
        <v>27</v>
      </c>
      <c r="C476" s="4" t="s">
        <v>54</v>
      </c>
      <c r="D476" s="23" t="n">
        <v>45289.9166666667</v>
      </c>
      <c r="E476" s="23" t="n">
        <v>45293.4270833333</v>
      </c>
      <c r="F476" s="23" t="n">
        <v>45294.3229166667</v>
      </c>
      <c r="G476" s="4" t="n">
        <f aca="false">YEAR(E476)</f>
        <v>2024</v>
      </c>
      <c r="H476" s="4" t="str">
        <f aca="false">IF(E476&lt;DATE(2015,1,1),"2005–2014",IF(E476&lt;DATE(2022,3,5),"2015 – Mar 2022","Mar 2022 – Oct 2026"))</f>
        <v>Mar 2022 – Oct 2026</v>
      </c>
      <c r="I476" s="24" t="n">
        <v>180.122</v>
      </c>
      <c r="J476" s="24" t="n">
        <v>180.872</v>
      </c>
      <c r="K476" s="24" t="n">
        <v>173.399</v>
      </c>
      <c r="L476" s="25" t="n">
        <v>8.967</v>
      </c>
      <c r="M476" s="26" t="n">
        <v>74.968</v>
      </c>
      <c r="N476" s="4" t="s">
        <v>35</v>
      </c>
      <c r="O476" s="27" t="n">
        <v>0.03</v>
      </c>
      <c r="P476" s="28" t="n">
        <f aca="false">Summary!$C$6*O476</f>
        <v>0.00015</v>
      </c>
      <c r="Q476" s="29" t="n">
        <f aca="false">Q475*(1+P476)</f>
        <v>15199.9839768777</v>
      </c>
      <c r="R476" s="29" t="n">
        <f aca="false">MAX(R475,Q476)</f>
        <v>15767.0615446349</v>
      </c>
      <c r="S476" s="30" t="n">
        <f aca="false">Q476/R476-1</f>
        <v>-0.0359659639909341</v>
      </c>
      <c r="T476" s="31" t="n">
        <f aca="false">DATE(YEAR(F476),MONTH(F476),1)</f>
        <v>45292</v>
      </c>
    </row>
    <row r="477" customFormat="false" ht="15" hidden="false" customHeight="true" outlineLevel="0" collapsed="false">
      <c r="A477" s="4" t="n">
        <v>476</v>
      </c>
      <c r="B477" s="4" t="s">
        <v>27</v>
      </c>
      <c r="C477" s="4" t="s">
        <v>53</v>
      </c>
      <c r="D477" s="23" t="n">
        <v>45299.9166666667</v>
      </c>
      <c r="E477" s="23" t="n">
        <v>45300.2708333333</v>
      </c>
      <c r="F477" s="23" t="n">
        <v>45302.5729166667</v>
      </c>
      <c r="G477" s="4" t="n">
        <f aca="false">YEAR(E477)</f>
        <v>2024</v>
      </c>
      <c r="H477" s="4" t="str">
        <f aca="false">IF(E477&lt;DATE(2015,1,1),"2005–2014",IF(E477&lt;DATE(2022,3,5),"2015 – Mar 2022","Mar 2022 – Oct 2026"))</f>
        <v>Mar 2022 – Oct 2026</v>
      </c>
      <c r="I477" s="24" t="n">
        <v>183.33</v>
      </c>
      <c r="J477" s="24" t="n">
        <v>182.574</v>
      </c>
      <c r="K477" s="24" t="n">
        <v>185.878</v>
      </c>
      <c r="L477" s="25" t="n">
        <v>3.371</v>
      </c>
      <c r="M477" s="26" t="n">
        <v>75.579</v>
      </c>
      <c r="N477" s="4" t="s">
        <v>33</v>
      </c>
      <c r="O477" s="27" t="n">
        <v>3.3711</v>
      </c>
      <c r="P477" s="28" t="n">
        <f aca="false">Summary!$C$6*O477</f>
        <v>0.0168555</v>
      </c>
      <c r="Q477" s="29" t="n">
        <f aca="false">Q476*(1+P477)</f>
        <v>15456.1873068</v>
      </c>
      <c r="R477" s="29" t="n">
        <f aca="false">MAX(R476,Q477)</f>
        <v>15767.0615446349</v>
      </c>
      <c r="S477" s="30" t="n">
        <f aca="false">Q477/R477-1</f>
        <v>-0.0197166882969834</v>
      </c>
      <c r="T477" s="31" t="n">
        <f aca="false">DATE(YEAR(F477),MONTH(F477),1)</f>
        <v>45292</v>
      </c>
    </row>
    <row r="478" customFormat="false" ht="15" hidden="false" customHeight="true" outlineLevel="0" collapsed="false">
      <c r="A478" s="4" t="n">
        <v>477</v>
      </c>
      <c r="B478" s="4" t="s">
        <v>27</v>
      </c>
      <c r="C478" s="4" t="s">
        <v>54</v>
      </c>
      <c r="D478" s="23" t="n">
        <v>45302.9166666667</v>
      </c>
      <c r="E478" s="23" t="n">
        <v>45303.0729166667</v>
      </c>
      <c r="F478" s="23" t="n">
        <v>45306.2916666667</v>
      </c>
      <c r="G478" s="4" t="n">
        <f aca="false">YEAR(E478)</f>
        <v>2024</v>
      </c>
      <c r="H478" s="4" t="str">
        <f aca="false">IF(E478&lt;DATE(2015,1,1),"2005–2014",IF(E478&lt;DATE(2022,3,5),"2015 – Mar 2022","Mar 2022 – Oct 2026"))</f>
        <v>Mar 2022 – Oct 2026</v>
      </c>
      <c r="I478" s="24" t="n">
        <v>185.451</v>
      </c>
      <c r="J478" s="24" t="n">
        <v>186.178</v>
      </c>
      <c r="K478" s="24" t="n">
        <v>183.238</v>
      </c>
      <c r="L478" s="25" t="n">
        <v>3.043</v>
      </c>
      <c r="M478" s="26" t="n">
        <v>72.724</v>
      </c>
      <c r="N478" s="4" t="s">
        <v>35</v>
      </c>
      <c r="O478" s="27" t="n">
        <v>0.0309</v>
      </c>
      <c r="P478" s="28" t="n">
        <f aca="false">Summary!$C$6*O478</f>
        <v>0.0001545</v>
      </c>
      <c r="Q478" s="29" t="n">
        <f aca="false">Q477*(1+P478)</f>
        <v>15458.5752877389</v>
      </c>
      <c r="R478" s="29" t="n">
        <f aca="false">MAX(R477,Q478)</f>
        <v>15767.0615446349</v>
      </c>
      <c r="S478" s="30" t="n">
        <f aca="false">Q478/R478-1</f>
        <v>-0.0195652345253252</v>
      </c>
      <c r="T478" s="31" t="n">
        <f aca="false">DATE(YEAR(F478),MONTH(F478),1)</f>
        <v>45292</v>
      </c>
    </row>
    <row r="479" customFormat="false" ht="15" hidden="false" customHeight="true" outlineLevel="0" collapsed="false">
      <c r="A479" s="4" t="n">
        <v>478</v>
      </c>
      <c r="B479" s="4" t="s">
        <v>27</v>
      </c>
      <c r="C479" s="4" t="s">
        <v>53</v>
      </c>
      <c r="D479" s="23" t="n">
        <v>45307.9166666667</v>
      </c>
      <c r="E479" s="23" t="n">
        <v>45308.2395833333</v>
      </c>
      <c r="F479" s="23" t="n">
        <v>45310.0520833333</v>
      </c>
      <c r="G479" s="4" t="n">
        <f aca="false">YEAR(E479)</f>
        <v>2024</v>
      </c>
      <c r="H479" s="4" t="str">
        <f aca="false">IF(E479&lt;DATE(2015,1,1),"2005–2014",IF(E479&lt;DATE(2022,3,5),"2015 – Mar 2022","Mar 2022 – Oct 2026"))</f>
        <v>Mar 2022 – Oct 2026</v>
      </c>
      <c r="I479" s="24" t="n">
        <v>186.128</v>
      </c>
      <c r="J479" s="24" t="n">
        <v>185.451</v>
      </c>
      <c r="K479" s="24" t="n">
        <v>188.3</v>
      </c>
      <c r="L479" s="25" t="n">
        <v>3.208</v>
      </c>
      <c r="M479" s="26" t="n">
        <v>67.711</v>
      </c>
      <c r="N479" s="4" t="s">
        <v>33</v>
      </c>
      <c r="O479" s="27" t="n">
        <v>3.2084</v>
      </c>
      <c r="P479" s="28" t="n">
        <f aca="false">Summary!$C$6*O479</f>
        <v>0.016042</v>
      </c>
      <c r="Q479" s="29" t="n">
        <f aca="false">Q478*(1+P479)</f>
        <v>15706.5617525048</v>
      </c>
      <c r="R479" s="29" t="n">
        <f aca="false">MAX(R478,Q479)</f>
        <v>15767.0615446349</v>
      </c>
      <c r="S479" s="30" t="n">
        <f aca="false">Q479/R479-1</f>
        <v>-0.00383710001758031</v>
      </c>
      <c r="T479" s="31" t="n">
        <f aca="false">DATE(YEAR(F479),MONTH(F479),1)</f>
        <v>45292</v>
      </c>
    </row>
    <row r="480" customFormat="false" ht="15" hidden="false" customHeight="true" outlineLevel="0" collapsed="false">
      <c r="A480" s="4" t="n">
        <v>479</v>
      </c>
      <c r="B480" s="4" t="s">
        <v>28</v>
      </c>
      <c r="C480" s="4" t="s">
        <v>54</v>
      </c>
      <c r="D480" s="23" t="n">
        <v>45315.9166666667</v>
      </c>
      <c r="E480" s="23" t="n">
        <v>45317.4895833333</v>
      </c>
      <c r="F480" s="23" t="n">
        <v>45322.6770833333</v>
      </c>
      <c r="G480" s="4" t="n">
        <f aca="false">YEAR(E480)</f>
        <v>2024</v>
      </c>
      <c r="H480" s="4" t="str">
        <f aca="false">IF(E480&lt;DATE(2015,1,1),"2005–2014",IF(E480&lt;DATE(2022,3,5),"2015 – Mar 2022","Mar 2022 – Oct 2026"))</f>
        <v>Mar 2022 – Oct 2026</v>
      </c>
      <c r="I480" s="24" t="n">
        <v>188.243</v>
      </c>
      <c r="J480" s="24" t="n">
        <v>188.877</v>
      </c>
      <c r="K480" s="24" t="n">
        <v>186.047</v>
      </c>
      <c r="L480" s="25" t="n">
        <v>3.461</v>
      </c>
      <c r="M480" s="26" t="n">
        <v>63.444</v>
      </c>
      <c r="N480" s="4" t="s">
        <v>33</v>
      </c>
      <c r="O480" s="27" t="n">
        <v>3.4606</v>
      </c>
      <c r="P480" s="28" t="n">
        <f aca="false">Summary!$C$6*O480</f>
        <v>0.017303</v>
      </c>
      <c r="Q480" s="29" t="n">
        <f aca="false">Q479*(1+P480)</f>
        <v>15978.3323905084</v>
      </c>
      <c r="R480" s="29" t="n">
        <f aca="false">MAX(R479,Q480)</f>
        <v>15978.3323905084</v>
      </c>
      <c r="S480" s="30" t="n">
        <f aca="false">Q480/R480-1</f>
        <v>0</v>
      </c>
      <c r="T480" s="31" t="n">
        <f aca="false">DATE(YEAR(F480),MONTH(F480),1)</f>
        <v>45292</v>
      </c>
    </row>
    <row r="481" customFormat="false" ht="15" hidden="false" customHeight="true" outlineLevel="0" collapsed="false">
      <c r="A481" s="4" t="n">
        <v>480</v>
      </c>
      <c r="B481" s="4" t="s">
        <v>27</v>
      </c>
      <c r="C481" s="4" t="s">
        <v>53</v>
      </c>
      <c r="D481" s="23" t="n">
        <v>45328.9166666667</v>
      </c>
      <c r="E481" s="23" t="n">
        <v>45329.125</v>
      </c>
      <c r="F481" s="23" t="n">
        <v>45330.4479166667</v>
      </c>
      <c r="G481" s="4" t="n">
        <f aca="false">YEAR(E481)</f>
        <v>2024</v>
      </c>
      <c r="H481" s="4" t="str">
        <f aca="false">IF(E481&lt;DATE(2015,1,1),"2005–2014",IF(E481&lt;DATE(2022,3,5),"2015 – Mar 2022","Mar 2022 – Oct 2026"))</f>
        <v>Mar 2022 – Oct 2026</v>
      </c>
      <c r="I481" s="24" t="n">
        <v>186.412</v>
      </c>
      <c r="J481" s="24" t="n">
        <v>185.845</v>
      </c>
      <c r="K481" s="24" t="n">
        <v>188.189</v>
      </c>
      <c r="L481" s="25" t="n">
        <v>3.133</v>
      </c>
      <c r="M481" s="26" t="n">
        <v>56.713</v>
      </c>
      <c r="N481" s="4" t="s">
        <v>33</v>
      </c>
      <c r="O481" s="27" t="n">
        <v>3.133</v>
      </c>
      <c r="P481" s="28" t="n">
        <f aca="false">Summary!$C$6*O481</f>
        <v>0.015665</v>
      </c>
      <c r="Q481" s="29" t="n">
        <f aca="false">Q480*(1+P481)</f>
        <v>16228.6329674057</v>
      </c>
      <c r="R481" s="29" t="n">
        <f aca="false">MAX(R480,Q481)</f>
        <v>16228.6329674057</v>
      </c>
      <c r="S481" s="30" t="n">
        <f aca="false">Q481/R481-1</f>
        <v>0</v>
      </c>
      <c r="T481" s="31" t="n">
        <f aca="false">DATE(YEAR(F481),MONTH(F481),1)</f>
        <v>45323</v>
      </c>
    </row>
    <row r="482" customFormat="false" ht="15" hidden="false" customHeight="true" outlineLevel="0" collapsed="false">
      <c r="A482" s="4" t="n">
        <v>481</v>
      </c>
      <c r="B482" s="4" t="s">
        <v>27</v>
      </c>
      <c r="C482" s="4" t="s">
        <v>53</v>
      </c>
      <c r="D482" s="23" t="n">
        <v>45380.9166666667</v>
      </c>
      <c r="E482" s="23" t="n">
        <v>45383</v>
      </c>
      <c r="F482" s="23" t="n">
        <v>45383.5833333333</v>
      </c>
      <c r="G482" s="4" t="n">
        <f aca="false">YEAR(E482)</f>
        <v>2024</v>
      </c>
      <c r="H482" s="4" t="str">
        <f aca="false">IF(E482&lt;DATE(2015,1,1),"2005–2014",IF(E482&lt;DATE(2022,3,5),"2015 – Mar 2022","Mar 2022 – Oct 2026"))</f>
        <v>Mar 2022 – Oct 2026</v>
      </c>
      <c r="I482" s="24" t="n">
        <v>191.249</v>
      </c>
      <c r="J482" s="24" t="n">
        <v>190.774</v>
      </c>
      <c r="K482" s="24" t="n">
        <v>193.261</v>
      </c>
      <c r="L482" s="25" t="n">
        <v>4.232</v>
      </c>
      <c r="M482" s="26" t="n">
        <v>47.539</v>
      </c>
      <c r="N482" s="4" t="s">
        <v>34</v>
      </c>
      <c r="O482" s="27" t="n">
        <v>-1.0158</v>
      </c>
      <c r="P482" s="28" t="n">
        <f aca="false">Summary!$C$6*O482</f>
        <v>-0.005079</v>
      </c>
      <c r="Q482" s="29" t="n">
        <f aca="false">Q481*(1+P482)</f>
        <v>16146.2077405643</v>
      </c>
      <c r="R482" s="29" t="n">
        <f aca="false">MAX(R481,Q482)</f>
        <v>16228.6329674057</v>
      </c>
      <c r="S482" s="30" t="n">
        <f aca="false">Q482/R482-1</f>
        <v>-0.00507900000000006</v>
      </c>
      <c r="T482" s="31" t="n">
        <f aca="false">DATE(YEAR(F482),MONTH(F482),1)</f>
        <v>45383</v>
      </c>
    </row>
    <row r="483" customFormat="false" ht="15" hidden="false" customHeight="true" outlineLevel="0" collapsed="false">
      <c r="A483" s="4" t="n">
        <v>482</v>
      </c>
      <c r="B483" s="4" t="s">
        <v>28</v>
      </c>
      <c r="C483" s="4" t="s">
        <v>54</v>
      </c>
      <c r="D483" s="23" t="n">
        <v>45383.9166666667</v>
      </c>
      <c r="E483" s="23" t="n">
        <v>45385.5625</v>
      </c>
      <c r="F483" s="23" t="n">
        <v>45385.6145833333</v>
      </c>
      <c r="G483" s="4" t="n">
        <f aca="false">YEAR(E483)</f>
        <v>2024</v>
      </c>
      <c r="H483" s="4" t="str">
        <f aca="false">IF(E483&lt;DATE(2015,1,1),"2005–2014",IF(E483&lt;DATE(2022,3,5),"2015 – Mar 2022","Mar 2022 – Oct 2026"))</f>
        <v>Mar 2022 – Oct 2026</v>
      </c>
      <c r="I483" s="24" t="n">
        <v>191.055</v>
      </c>
      <c r="J483" s="24" t="n">
        <v>191.531</v>
      </c>
      <c r="K483" s="24" t="n">
        <v>189.378</v>
      </c>
      <c r="L483" s="25" t="n">
        <v>3.526</v>
      </c>
      <c r="M483" s="26" t="n">
        <v>47.575</v>
      </c>
      <c r="N483" s="4" t="s">
        <v>34</v>
      </c>
      <c r="O483" s="27" t="n">
        <v>-1.0158</v>
      </c>
      <c r="P483" s="28" t="n">
        <f aca="false">Summary!$C$6*O483</f>
        <v>-0.005079</v>
      </c>
      <c r="Q483" s="29" t="n">
        <f aca="false">Q482*(1+P483)</f>
        <v>16064.2011514499</v>
      </c>
      <c r="R483" s="29" t="n">
        <f aca="false">MAX(R482,Q483)</f>
        <v>16228.6329674057</v>
      </c>
      <c r="S483" s="30" t="n">
        <f aca="false">Q483/R483-1</f>
        <v>-0.0101322037590001</v>
      </c>
      <c r="T483" s="31" t="n">
        <f aca="false">DATE(YEAR(F483),MONTH(F483),1)</f>
        <v>45383</v>
      </c>
    </row>
    <row r="484" customFormat="false" ht="15" hidden="false" customHeight="true" outlineLevel="0" collapsed="false">
      <c r="A484" s="4" t="n">
        <v>483</v>
      </c>
      <c r="B484" s="4" t="s">
        <v>28</v>
      </c>
      <c r="C484" s="4" t="s">
        <v>53</v>
      </c>
      <c r="D484" s="23" t="n">
        <v>45385.9166666667</v>
      </c>
      <c r="E484" s="23" t="n">
        <v>45386.8125</v>
      </c>
      <c r="F484" s="23" t="n">
        <v>45394.4583333333</v>
      </c>
      <c r="G484" s="4" t="n">
        <f aca="false">YEAR(E484)</f>
        <v>2024</v>
      </c>
      <c r="H484" s="4" t="str">
        <f aca="false">IF(E484&lt;DATE(2015,1,1),"2005–2014",IF(E484&lt;DATE(2022,3,5),"2015 – Mar 2022","Mar 2022 – Oct 2026"))</f>
        <v>Mar 2022 – Oct 2026</v>
      </c>
      <c r="I484" s="24" t="n">
        <v>191.068</v>
      </c>
      <c r="J484" s="24" t="n">
        <v>190.595</v>
      </c>
      <c r="K484" s="24" t="n">
        <v>193.261</v>
      </c>
      <c r="L484" s="25" t="n">
        <v>4.637</v>
      </c>
      <c r="M484" s="26" t="n">
        <v>47.305</v>
      </c>
      <c r="N484" s="4" t="s">
        <v>35</v>
      </c>
      <c r="O484" s="27" t="n">
        <v>0.0476</v>
      </c>
      <c r="P484" s="28" t="n">
        <f aca="false">Summary!$C$6*O484</f>
        <v>0.000238</v>
      </c>
      <c r="Q484" s="29" t="n">
        <f aca="false">Q483*(1+P484)</f>
        <v>16068.024431324</v>
      </c>
      <c r="R484" s="29" t="n">
        <f aca="false">MAX(R483,Q484)</f>
        <v>16228.6329674057</v>
      </c>
      <c r="S484" s="30" t="n">
        <f aca="false">Q484/R484-1</f>
        <v>-0.00989661522349483</v>
      </c>
      <c r="T484" s="31" t="n">
        <f aca="false">DATE(YEAR(F484),MONTH(F484),1)</f>
        <v>45383</v>
      </c>
    </row>
    <row r="485" customFormat="false" ht="15" hidden="false" customHeight="true" outlineLevel="0" collapsed="false">
      <c r="A485" s="4" t="n">
        <v>484</v>
      </c>
      <c r="B485" s="4" t="s">
        <v>28</v>
      </c>
      <c r="C485" s="4" t="s">
        <v>53</v>
      </c>
      <c r="D485" s="23" t="n">
        <v>45397.9166666667</v>
      </c>
      <c r="E485" s="23" t="n">
        <v>45401.0625</v>
      </c>
      <c r="F485" s="23" t="n">
        <v>45401.0729166667</v>
      </c>
      <c r="G485" s="4" t="n">
        <f aca="false">YEAR(E485)</f>
        <v>2024</v>
      </c>
      <c r="H485" s="4" t="str">
        <f aca="false">IF(E485&lt;DATE(2015,1,1),"2005–2014",IF(E485&lt;DATE(2022,3,5),"2015 – Mar 2022","Mar 2022 – Oct 2026"))</f>
        <v>Mar 2022 – Oct 2026</v>
      </c>
      <c r="I485" s="24" t="n">
        <v>191.078</v>
      </c>
      <c r="J485" s="24" t="n">
        <v>190.556</v>
      </c>
      <c r="K485" s="24" t="n">
        <v>193.255</v>
      </c>
      <c r="L485" s="25" t="n">
        <v>4.172</v>
      </c>
      <c r="M485" s="26" t="n">
        <v>52.193</v>
      </c>
      <c r="N485" s="4" t="s">
        <v>35</v>
      </c>
      <c r="O485" s="27" t="n">
        <v>-0.211</v>
      </c>
      <c r="P485" s="28" t="n">
        <f aca="false">Summary!$C$6*O485</f>
        <v>-0.001055</v>
      </c>
      <c r="Q485" s="29" t="n">
        <f aca="false">Q484*(1+P485)</f>
        <v>16051.0726655489</v>
      </c>
      <c r="R485" s="29" t="n">
        <f aca="false">MAX(R484,Q485)</f>
        <v>16228.6329674057</v>
      </c>
      <c r="S485" s="30" t="n">
        <f aca="false">Q485/R485-1</f>
        <v>-0.0109411742944341</v>
      </c>
      <c r="T485" s="31" t="n">
        <f aca="false">DATE(YEAR(F485),MONTH(F485),1)</f>
        <v>45383</v>
      </c>
    </row>
    <row r="486" customFormat="false" ht="15" hidden="false" customHeight="true" outlineLevel="0" collapsed="false">
      <c r="A486" s="4" t="n">
        <v>485</v>
      </c>
      <c r="B486" s="4" t="s">
        <v>27</v>
      </c>
      <c r="C486" s="4" t="s">
        <v>53</v>
      </c>
      <c r="D486" s="23" t="n">
        <v>45404.9166666667</v>
      </c>
      <c r="E486" s="23" t="n">
        <v>45405.4375</v>
      </c>
      <c r="F486" s="23" t="n">
        <v>45406.71875</v>
      </c>
      <c r="G486" s="4" t="n">
        <f aca="false">YEAR(E486)</f>
        <v>2024</v>
      </c>
      <c r="H486" s="4" t="str">
        <f aca="false">IF(E486&lt;DATE(2015,1,1),"2005–2014",IF(E486&lt;DATE(2022,3,5),"2015 – Mar 2022","Mar 2022 – Oct 2026"))</f>
        <v>Mar 2022 – Oct 2026</v>
      </c>
      <c r="I486" s="24" t="n">
        <v>191.202</v>
      </c>
      <c r="J486" s="24" t="n">
        <v>190.661</v>
      </c>
      <c r="K486" s="24" t="n">
        <v>193.253</v>
      </c>
      <c r="L486" s="25" t="n">
        <v>3.788</v>
      </c>
      <c r="M486" s="26" t="n">
        <v>54.137</v>
      </c>
      <c r="N486" s="4" t="s">
        <v>33</v>
      </c>
      <c r="O486" s="27" t="n">
        <v>3.7885</v>
      </c>
      <c r="P486" s="28" t="n">
        <f aca="false">Summary!$C$6*O486</f>
        <v>0.0189425</v>
      </c>
      <c r="Q486" s="29" t="n">
        <f aca="false">Q485*(1+P486)</f>
        <v>16355.1201095161</v>
      </c>
      <c r="R486" s="29" t="n">
        <f aca="false">MAX(R485,Q486)</f>
        <v>16355.1201095161</v>
      </c>
      <c r="S486" s="30" t="n">
        <f aca="false">Q486/R486-1</f>
        <v>0</v>
      </c>
      <c r="T486" s="31" t="n">
        <f aca="false">DATE(YEAR(F486),MONTH(F486),1)</f>
        <v>45383</v>
      </c>
    </row>
    <row r="487" customFormat="false" ht="15" hidden="false" customHeight="true" outlineLevel="0" collapsed="false">
      <c r="A487" s="4" t="n">
        <v>486</v>
      </c>
      <c r="B487" s="4" t="s">
        <v>28</v>
      </c>
      <c r="C487" s="4" t="s">
        <v>53</v>
      </c>
      <c r="D487" s="23" t="n">
        <v>45517.9166666667</v>
      </c>
      <c r="E487" s="23" t="n">
        <v>45518.1041666667</v>
      </c>
      <c r="F487" s="23" t="n">
        <v>45519.625</v>
      </c>
      <c r="G487" s="4" t="n">
        <f aca="false">YEAR(E487)</f>
        <v>2024</v>
      </c>
      <c r="H487" s="4" t="str">
        <f aca="false">IF(E487&lt;DATE(2015,1,1),"2005–2014",IF(E487&lt;DATE(2022,3,5),"2015 – Mar 2022","Mar 2022 – Oct 2026"))</f>
        <v>Mar 2022 – Oct 2026</v>
      </c>
      <c r="I487" s="24" t="n">
        <v>187.975</v>
      </c>
      <c r="J487" s="24" t="n">
        <v>186.821</v>
      </c>
      <c r="K487" s="24" t="n">
        <v>191.612</v>
      </c>
      <c r="L487" s="25" t="n">
        <v>3.15</v>
      </c>
      <c r="M487" s="26" t="n">
        <v>115.461</v>
      </c>
      <c r="N487" s="4" t="s">
        <v>33</v>
      </c>
      <c r="O487" s="27" t="n">
        <v>3.1498</v>
      </c>
      <c r="P487" s="28" t="n">
        <f aca="false">Summary!$C$6*O487</f>
        <v>0.015749</v>
      </c>
      <c r="Q487" s="29" t="n">
        <f aca="false">Q486*(1+P487)</f>
        <v>16612.6968961209</v>
      </c>
      <c r="R487" s="29" t="n">
        <f aca="false">MAX(R486,Q487)</f>
        <v>16612.6968961209</v>
      </c>
      <c r="S487" s="30" t="n">
        <f aca="false">Q487/R487-1</f>
        <v>0</v>
      </c>
      <c r="T487" s="31" t="n">
        <f aca="false">DATE(YEAR(F487),MONTH(F487),1)</f>
        <v>45505</v>
      </c>
    </row>
    <row r="488" customFormat="false" ht="15" hidden="false" customHeight="true" outlineLevel="0" collapsed="false">
      <c r="A488" s="4" t="n">
        <v>487</v>
      </c>
      <c r="B488" s="4" t="s">
        <v>28</v>
      </c>
      <c r="C488" s="4" t="s">
        <v>53</v>
      </c>
      <c r="D488" s="23" t="n">
        <v>45519.9166666667</v>
      </c>
      <c r="E488" s="23" t="n">
        <v>45520.53125</v>
      </c>
      <c r="F488" s="23" t="n">
        <v>45523.1875</v>
      </c>
      <c r="G488" s="4" t="n">
        <f aca="false">YEAR(E488)</f>
        <v>2024</v>
      </c>
      <c r="H488" s="4" t="str">
        <f aca="false">IF(E488&lt;DATE(2015,1,1),"2005–2014",IF(E488&lt;DATE(2022,3,5),"2015 – Mar 2022","Mar 2022 – Oct 2026"))</f>
        <v>Mar 2022 – Oct 2026</v>
      </c>
      <c r="I488" s="24" t="n">
        <v>190.573</v>
      </c>
      <c r="J488" s="24" t="n">
        <v>189.439</v>
      </c>
      <c r="K488" s="24" t="n">
        <v>197.61</v>
      </c>
      <c r="L488" s="25" t="n">
        <v>6.205</v>
      </c>
      <c r="M488" s="26" t="n">
        <v>113.403</v>
      </c>
      <c r="N488" s="4" t="s">
        <v>34</v>
      </c>
      <c r="O488" s="27" t="n">
        <v>-1.0066</v>
      </c>
      <c r="P488" s="28" t="n">
        <f aca="false">Summary!$C$6*O488</f>
        <v>-0.005033</v>
      </c>
      <c r="Q488" s="29" t="n">
        <f aca="false">Q487*(1+P488)</f>
        <v>16529.0851926427</v>
      </c>
      <c r="R488" s="29" t="n">
        <f aca="false">MAX(R487,Q488)</f>
        <v>16612.6968961209</v>
      </c>
      <c r="S488" s="30" t="n">
        <f aca="false">Q488/R488-1</f>
        <v>-0.00503299999999995</v>
      </c>
      <c r="T488" s="31" t="n">
        <f aca="false">DATE(YEAR(F488),MONTH(F488),1)</f>
        <v>45505</v>
      </c>
    </row>
    <row r="489" customFormat="false" ht="15" hidden="false" customHeight="true" outlineLevel="0" collapsed="false">
      <c r="A489" s="4" t="n">
        <v>488</v>
      </c>
      <c r="B489" s="4" t="s">
        <v>28</v>
      </c>
      <c r="C489" s="4" t="s">
        <v>54</v>
      </c>
      <c r="D489" s="23" t="n">
        <v>45523.9166666667</v>
      </c>
      <c r="E489" s="23" t="n">
        <v>45524.25</v>
      </c>
      <c r="F489" s="23" t="n">
        <v>45525.5833333333</v>
      </c>
      <c r="G489" s="4" t="n">
        <f aca="false">YEAR(E489)</f>
        <v>2024</v>
      </c>
      <c r="H489" s="4" t="str">
        <f aca="false">IF(E489&lt;DATE(2015,1,1),"2005–2014",IF(E489&lt;DATE(2022,3,5),"2015 – Mar 2022","Mar 2022 – Oct 2026"))</f>
        <v>Mar 2022 – Oct 2026</v>
      </c>
      <c r="I489" s="24" t="n">
        <v>191.25</v>
      </c>
      <c r="J489" s="24" t="n">
        <v>192.372</v>
      </c>
      <c r="K489" s="24" t="n">
        <v>186.654</v>
      </c>
      <c r="L489" s="25" t="n">
        <v>4.097</v>
      </c>
      <c r="M489" s="26" t="n">
        <v>112.178</v>
      </c>
      <c r="N489" s="4" t="s">
        <v>35</v>
      </c>
      <c r="O489" s="27" t="n">
        <v>0.0201</v>
      </c>
      <c r="P489" s="28" t="n">
        <f aca="false">Summary!$C$6*O489</f>
        <v>0.0001005</v>
      </c>
      <c r="Q489" s="29" t="n">
        <f aca="false">Q488*(1+P489)</f>
        <v>16530.7463657045</v>
      </c>
      <c r="R489" s="29" t="n">
        <f aca="false">MAX(R488,Q489)</f>
        <v>16612.6968961209</v>
      </c>
      <c r="S489" s="30" t="n">
        <f aca="false">Q489/R489-1</f>
        <v>-0.00493300581649991</v>
      </c>
      <c r="T489" s="31" t="n">
        <f aca="false">DATE(YEAR(F489),MONTH(F489),1)</f>
        <v>45505</v>
      </c>
    </row>
    <row r="490" customFormat="false" ht="15" hidden="false" customHeight="true" outlineLevel="0" collapsed="false">
      <c r="A490" s="4" t="n">
        <v>489</v>
      </c>
      <c r="B490" s="4" t="s">
        <v>27</v>
      </c>
      <c r="C490" s="4" t="s">
        <v>54</v>
      </c>
      <c r="D490" s="23" t="n">
        <v>45525.9166666667</v>
      </c>
      <c r="E490" s="23" t="n">
        <v>45526.1666666667</v>
      </c>
      <c r="F490" s="23" t="n">
        <v>45526.4166666667</v>
      </c>
      <c r="G490" s="4" t="n">
        <f aca="false">YEAR(E490)</f>
        <v>2024</v>
      </c>
      <c r="H490" s="4" t="str">
        <f aca="false">IF(E490&lt;DATE(2015,1,1),"2005–2014",IF(E490&lt;DATE(2022,3,5),"2015 – Mar 2022","Mar 2022 – Oct 2026"))</f>
        <v>Mar 2022 – Oct 2026</v>
      </c>
      <c r="I490" s="24" t="n">
        <v>190.079</v>
      </c>
      <c r="J490" s="24" t="n">
        <v>191.18</v>
      </c>
      <c r="K490" s="24" t="n">
        <v>186.651</v>
      </c>
      <c r="L490" s="25" t="n">
        <v>3.113</v>
      </c>
      <c r="M490" s="26" t="n">
        <v>110.125</v>
      </c>
      <c r="N490" s="4" t="s">
        <v>34</v>
      </c>
      <c r="O490" s="27" t="n">
        <v>-1.0068</v>
      </c>
      <c r="P490" s="28" t="n">
        <f aca="false">Summary!$C$6*O490</f>
        <v>-0.005034</v>
      </c>
      <c r="Q490" s="29" t="n">
        <f aca="false">Q489*(1+P490)</f>
        <v>16447.5305884996</v>
      </c>
      <c r="R490" s="29" t="n">
        <f aca="false">MAX(R489,Q490)</f>
        <v>16612.6968961209</v>
      </c>
      <c r="S490" s="30" t="n">
        <f aca="false">Q490/R490-1</f>
        <v>-0.00994217306521972</v>
      </c>
      <c r="T490" s="31" t="n">
        <f aca="false">DATE(YEAR(F490),MONTH(F490),1)</f>
        <v>45505</v>
      </c>
    </row>
    <row r="491" customFormat="false" ht="15" hidden="false" customHeight="true" outlineLevel="0" collapsed="false">
      <c r="A491" s="4" t="n">
        <v>490</v>
      </c>
      <c r="B491" s="4" t="s">
        <v>28</v>
      </c>
      <c r="C491" s="4" t="s">
        <v>53</v>
      </c>
      <c r="D491" s="23" t="n">
        <v>45526.9166666667</v>
      </c>
      <c r="E491" s="23" t="n">
        <v>45527.8125</v>
      </c>
      <c r="F491" s="23" t="n">
        <v>45532.7395833333</v>
      </c>
      <c r="G491" s="4" t="n">
        <f aca="false">YEAR(E491)</f>
        <v>2024</v>
      </c>
      <c r="H491" s="4" t="str">
        <f aca="false">IF(E491&lt;DATE(2015,1,1),"2005–2014",IF(E491&lt;DATE(2022,3,5),"2015 – Mar 2022","Mar 2022 – Oct 2026"))</f>
        <v>Mar 2022 – Oct 2026</v>
      </c>
      <c r="I491" s="24" t="n">
        <v>190.367</v>
      </c>
      <c r="J491" s="24" t="n">
        <v>189.277</v>
      </c>
      <c r="K491" s="24" t="n">
        <v>197.615</v>
      </c>
      <c r="L491" s="25" t="n">
        <v>6.649</v>
      </c>
      <c r="M491" s="26" t="n">
        <v>109.009</v>
      </c>
      <c r="N491" s="4" t="s">
        <v>35</v>
      </c>
      <c r="O491" s="27" t="n">
        <v>0.0206</v>
      </c>
      <c r="P491" s="28" t="n">
        <f aca="false">Summary!$C$6*O491</f>
        <v>0.000103</v>
      </c>
      <c r="Q491" s="29" t="n">
        <f aca="false">Q490*(1+P491)</f>
        <v>16449.2246841502</v>
      </c>
      <c r="R491" s="29" t="n">
        <f aca="false">MAX(R490,Q491)</f>
        <v>16612.6968961209</v>
      </c>
      <c r="S491" s="30" t="n">
        <f aca="false">Q491/R491-1</f>
        <v>-0.00984019710904549</v>
      </c>
      <c r="T491" s="31" t="n">
        <f aca="false">DATE(YEAR(F491),MONTH(F491),1)</f>
        <v>45505</v>
      </c>
    </row>
    <row r="492" customFormat="false" ht="15" hidden="false" customHeight="true" outlineLevel="0" collapsed="false">
      <c r="A492" s="4" t="n">
        <v>491</v>
      </c>
      <c r="B492" s="4" t="s">
        <v>27</v>
      </c>
      <c r="C492" s="4" t="s">
        <v>54</v>
      </c>
      <c r="D492" s="23" t="n">
        <v>45532.9166666667</v>
      </c>
      <c r="E492" s="23" t="n">
        <v>45533.5208333333</v>
      </c>
      <c r="F492" s="23" t="n">
        <v>45534.8229166667</v>
      </c>
      <c r="G492" s="4" t="n">
        <f aca="false">YEAR(E492)</f>
        <v>2024</v>
      </c>
      <c r="H492" s="4" t="str">
        <f aca="false">IF(E492&lt;DATE(2015,1,1),"2005–2014",IF(E492&lt;DATE(2022,3,5),"2015 – Mar 2022","Mar 2022 – Oct 2026"))</f>
        <v>Mar 2022 – Oct 2026</v>
      </c>
      <c r="I492" s="24" t="n">
        <v>191.029</v>
      </c>
      <c r="J492" s="24" t="n">
        <v>191.992</v>
      </c>
      <c r="K492" s="24" t="n">
        <v>188.093</v>
      </c>
      <c r="L492" s="25" t="n">
        <v>3.05</v>
      </c>
      <c r="M492" s="26" t="n">
        <v>96.26</v>
      </c>
      <c r="N492" s="4" t="s">
        <v>34</v>
      </c>
      <c r="O492" s="27" t="n">
        <v>-1.0078</v>
      </c>
      <c r="P492" s="28" t="n">
        <f aca="false">Summary!$C$6*O492</f>
        <v>-0.005039</v>
      </c>
      <c r="Q492" s="29" t="n">
        <f aca="false">Q491*(1+P492)</f>
        <v>16366.3370409668</v>
      </c>
      <c r="R492" s="29" t="n">
        <f aca="false">MAX(R491,Q492)</f>
        <v>16612.6968961209</v>
      </c>
      <c r="S492" s="30" t="n">
        <f aca="false">Q492/R492-1</f>
        <v>-0.0148296123558129</v>
      </c>
      <c r="T492" s="31" t="n">
        <f aca="false">DATE(YEAR(F492),MONTH(F492),1)</f>
        <v>45505</v>
      </c>
    </row>
    <row r="493" customFormat="false" ht="15" hidden="false" customHeight="true" outlineLevel="0" collapsed="false">
      <c r="A493" s="4" t="n">
        <v>492</v>
      </c>
      <c r="B493" s="4" t="s">
        <v>28</v>
      </c>
      <c r="C493" s="4" t="s">
        <v>53</v>
      </c>
      <c r="D493" s="23" t="n">
        <v>45534.9166666667</v>
      </c>
      <c r="E493" s="23" t="n">
        <v>45538.5729166667</v>
      </c>
      <c r="F493" s="23" t="n">
        <v>45539.2916666667</v>
      </c>
      <c r="G493" s="4" t="n">
        <f aca="false">YEAR(E493)</f>
        <v>2024</v>
      </c>
      <c r="H493" s="4" t="str">
        <f aca="false">IF(E493&lt;DATE(2015,1,1),"2005–2014",IF(E493&lt;DATE(2022,3,5),"2015 – Mar 2022","Mar 2022 – Oct 2026"))</f>
        <v>Mar 2022 – Oct 2026</v>
      </c>
      <c r="I493" s="24" t="n">
        <v>190.766</v>
      </c>
      <c r="J493" s="24" t="n">
        <v>189.856</v>
      </c>
      <c r="K493" s="24" t="n">
        <v>197.637</v>
      </c>
      <c r="L493" s="25" t="n">
        <v>7.551</v>
      </c>
      <c r="M493" s="26" t="n">
        <v>90.999</v>
      </c>
      <c r="N493" s="4" t="s">
        <v>34</v>
      </c>
      <c r="O493" s="27" t="n">
        <v>-1.0082</v>
      </c>
      <c r="P493" s="28" t="n">
        <f aca="false">Summary!$C$6*O493</f>
        <v>-0.005041</v>
      </c>
      <c r="Q493" s="29" t="n">
        <f aca="false">Q492*(1+P493)</f>
        <v>16283.8343359433</v>
      </c>
      <c r="R493" s="29" t="n">
        <f aca="false">MAX(R492,Q493)</f>
        <v>16612.6968961209</v>
      </c>
      <c r="S493" s="30" t="n">
        <f aca="false">Q493/R493-1</f>
        <v>-0.0197958562799273</v>
      </c>
      <c r="T493" s="31" t="n">
        <f aca="false">DATE(YEAR(F493),MONTH(F493),1)</f>
        <v>45536</v>
      </c>
    </row>
    <row r="494" customFormat="false" ht="15" hidden="false" customHeight="true" outlineLevel="0" collapsed="false">
      <c r="A494" s="4" t="n">
        <v>493</v>
      </c>
      <c r="B494" s="4" t="s">
        <v>27</v>
      </c>
      <c r="C494" s="4" t="s">
        <v>53</v>
      </c>
      <c r="D494" s="23" t="n">
        <v>45540.9166666667</v>
      </c>
      <c r="E494" s="23" t="n">
        <v>45541.5208333333</v>
      </c>
      <c r="F494" s="23" t="n">
        <v>45541.59375</v>
      </c>
      <c r="G494" s="4" t="n">
        <f aca="false">YEAR(E494)</f>
        <v>2024</v>
      </c>
      <c r="H494" s="4" t="str">
        <f aca="false">IF(E494&lt;DATE(2015,1,1),"2005–2014",IF(E494&lt;DATE(2022,3,5),"2015 – Mar 2022","Mar 2022 – Oct 2026"))</f>
        <v>Mar 2022 – Oct 2026</v>
      </c>
      <c r="I494" s="24" t="n">
        <v>188.054</v>
      </c>
      <c r="J494" s="24" t="n">
        <v>187.144</v>
      </c>
      <c r="K494" s="24" t="n">
        <v>190.941</v>
      </c>
      <c r="L494" s="25" t="n">
        <v>3.172</v>
      </c>
      <c r="M494" s="26" t="n">
        <v>91.027</v>
      </c>
      <c r="N494" s="4" t="s">
        <v>35</v>
      </c>
      <c r="O494" s="27" t="n">
        <v>0.0247</v>
      </c>
      <c r="P494" s="28" t="n">
        <f aca="false">Summary!$C$6*O494</f>
        <v>0.0001235</v>
      </c>
      <c r="Q494" s="29" t="n">
        <f aca="false">Q493*(1+P494)</f>
        <v>16285.8453894837</v>
      </c>
      <c r="R494" s="29" t="n">
        <f aca="false">MAX(R493,Q494)</f>
        <v>16612.6968961209</v>
      </c>
      <c r="S494" s="30" t="n">
        <f aca="false">Q494/R494-1</f>
        <v>-0.0196748010681779</v>
      </c>
      <c r="T494" s="31" t="n">
        <f aca="false">DATE(YEAR(F494),MONTH(F494),1)</f>
        <v>45536</v>
      </c>
    </row>
    <row r="495" customFormat="false" ht="15" hidden="false" customHeight="true" outlineLevel="0" collapsed="false">
      <c r="A495" s="4" t="n">
        <v>494</v>
      </c>
      <c r="B495" s="4" t="s">
        <v>28</v>
      </c>
      <c r="C495" s="4" t="s">
        <v>54</v>
      </c>
      <c r="D495" s="23" t="n">
        <v>45541.9166666667</v>
      </c>
      <c r="E495" s="23" t="n">
        <v>45544.3958333333</v>
      </c>
      <c r="F495" s="23" t="n">
        <v>45545.2916666667</v>
      </c>
      <c r="G495" s="4" t="n">
        <f aca="false">YEAR(E495)</f>
        <v>2024</v>
      </c>
      <c r="H495" s="4" t="str">
        <f aca="false">IF(E495&lt;DATE(2015,1,1),"2005–2014",IF(E495&lt;DATE(2022,3,5),"2015 – Mar 2022","Mar 2022 – Oct 2026"))</f>
        <v>Mar 2022 – Oct 2026</v>
      </c>
      <c r="I495" s="24" t="n">
        <v>188.003</v>
      </c>
      <c r="J495" s="24" t="n">
        <v>188.936</v>
      </c>
      <c r="K495" s="24" t="n">
        <v>184.19</v>
      </c>
      <c r="L495" s="25" t="n">
        <v>4.083</v>
      </c>
      <c r="M495" s="26" t="n">
        <v>93.375</v>
      </c>
      <c r="N495" s="4" t="s">
        <v>35</v>
      </c>
      <c r="O495" s="27" t="n">
        <v>0.0241</v>
      </c>
      <c r="P495" s="28" t="n">
        <f aca="false">Summary!$C$6*O495</f>
        <v>0.0001205</v>
      </c>
      <c r="Q495" s="29" t="n">
        <f aca="false">Q494*(1+P495)</f>
        <v>16287.8078338532</v>
      </c>
      <c r="R495" s="29" t="n">
        <f aca="false">MAX(R494,Q495)</f>
        <v>16612.6968961209</v>
      </c>
      <c r="S495" s="30" t="n">
        <f aca="false">Q495/R495-1</f>
        <v>-0.0195566718817067</v>
      </c>
      <c r="T495" s="31" t="n">
        <f aca="false">DATE(YEAR(F495),MONTH(F495),1)</f>
        <v>45536</v>
      </c>
    </row>
    <row r="496" customFormat="false" ht="15" hidden="false" customHeight="true" outlineLevel="0" collapsed="false">
      <c r="A496" s="4" t="n">
        <v>495</v>
      </c>
      <c r="B496" s="4" t="s">
        <v>27</v>
      </c>
      <c r="C496" s="4" t="s">
        <v>54</v>
      </c>
      <c r="D496" s="23" t="n">
        <v>45547.9166666667</v>
      </c>
      <c r="E496" s="23" t="n">
        <v>45548.125</v>
      </c>
      <c r="F496" s="23" t="n">
        <v>45551.5416666667</v>
      </c>
      <c r="G496" s="4" t="n">
        <f aca="false">YEAR(E496)</f>
        <v>2024</v>
      </c>
      <c r="H496" s="4" t="str">
        <f aca="false">IF(E496&lt;DATE(2015,1,1),"2005–2014",IF(E496&lt;DATE(2022,3,5),"2015 – Mar 2022","Mar 2022 – Oct 2026"))</f>
        <v>Mar 2022 – Oct 2026</v>
      </c>
      <c r="I496" s="24" t="n">
        <v>185.404</v>
      </c>
      <c r="J496" s="24" t="n">
        <v>186.313</v>
      </c>
      <c r="K496" s="24" t="n">
        <v>182.445</v>
      </c>
      <c r="L496" s="25" t="n">
        <v>3.257</v>
      </c>
      <c r="M496" s="26" t="n">
        <v>90.866</v>
      </c>
      <c r="N496" s="4" t="s">
        <v>35</v>
      </c>
      <c r="O496" s="27" t="n">
        <v>0.0248</v>
      </c>
      <c r="P496" s="28" t="n">
        <f aca="false">Summary!$C$6*O496</f>
        <v>0.000124</v>
      </c>
      <c r="Q496" s="29" t="n">
        <f aca="false">Q495*(1+P496)</f>
        <v>16289.8275220246</v>
      </c>
      <c r="R496" s="29" t="n">
        <f aca="false">MAX(R495,Q496)</f>
        <v>16612.6968961209</v>
      </c>
      <c r="S496" s="30" t="n">
        <f aca="false">Q496/R496-1</f>
        <v>-0.01943509690902</v>
      </c>
      <c r="T496" s="31" t="n">
        <f aca="false">DATE(YEAR(F496),MONTH(F496),1)</f>
        <v>45536</v>
      </c>
    </row>
    <row r="497" customFormat="false" ht="15" hidden="false" customHeight="true" outlineLevel="0" collapsed="false">
      <c r="A497" s="4" t="n">
        <v>496</v>
      </c>
      <c r="B497" s="4" t="s">
        <v>28</v>
      </c>
      <c r="C497" s="4" t="s">
        <v>53</v>
      </c>
      <c r="D497" s="23" t="n">
        <v>45559.9166666667</v>
      </c>
      <c r="E497" s="23" t="n">
        <v>45562.5833333333</v>
      </c>
      <c r="F497" s="23" t="n">
        <v>45562.7708333333</v>
      </c>
      <c r="G497" s="4" t="n">
        <f aca="false">YEAR(E497)</f>
        <v>2024</v>
      </c>
      <c r="H497" s="4" t="str">
        <f aca="false">IF(E497&lt;DATE(2015,1,1),"2005–2014",IF(E497&lt;DATE(2022,3,5),"2015 – Mar 2022","Mar 2022 – Oct 2026"))</f>
        <v>Mar 2022 – Oct 2026</v>
      </c>
      <c r="I497" s="24" t="n">
        <v>191.004</v>
      </c>
      <c r="J497" s="24" t="n">
        <v>190.061</v>
      </c>
      <c r="K497" s="24" t="n">
        <v>197.633</v>
      </c>
      <c r="L497" s="25" t="n">
        <v>7.03</v>
      </c>
      <c r="M497" s="26" t="n">
        <v>94.294</v>
      </c>
      <c r="N497" s="4" t="s">
        <v>34</v>
      </c>
      <c r="O497" s="27" t="n">
        <v>-1.008</v>
      </c>
      <c r="P497" s="28" t="n">
        <f aca="false">Summary!$C$6*O497</f>
        <v>-0.00504</v>
      </c>
      <c r="Q497" s="29" t="n">
        <f aca="false">Q496*(1+P497)</f>
        <v>16207.7267913136</v>
      </c>
      <c r="R497" s="29" t="n">
        <f aca="false">MAX(R496,Q497)</f>
        <v>16612.6968961209</v>
      </c>
      <c r="S497" s="30" t="n">
        <f aca="false">Q497/R497-1</f>
        <v>-0.0243771440205985</v>
      </c>
      <c r="T497" s="31" t="n">
        <f aca="false">DATE(YEAR(F497),MONTH(F497),1)</f>
        <v>45536</v>
      </c>
    </row>
    <row r="498" customFormat="false" ht="15" hidden="false" customHeight="true" outlineLevel="0" collapsed="false">
      <c r="A498" s="4" t="n">
        <v>497</v>
      </c>
      <c r="B498" s="4" t="s">
        <v>28</v>
      </c>
      <c r="C498" s="4" t="s">
        <v>54</v>
      </c>
      <c r="D498" s="23" t="n">
        <v>45562.9166666667</v>
      </c>
      <c r="E498" s="23" t="n">
        <v>45564.9895833333</v>
      </c>
      <c r="F498" s="23" t="n">
        <v>45565.3541666667</v>
      </c>
      <c r="G498" s="4" t="n">
        <f aca="false">YEAR(E498)</f>
        <v>2024</v>
      </c>
      <c r="H498" s="4" t="str">
        <f aca="false">IF(E498&lt;DATE(2015,1,1),"2005–2014",IF(E498&lt;DATE(2022,3,5),"2015 – Mar 2022","Mar 2022 – Oct 2026"))</f>
        <v>Mar 2022 – Oct 2026</v>
      </c>
      <c r="I498" s="24" t="n">
        <v>191.236</v>
      </c>
      <c r="J498" s="24" t="n">
        <v>192.254</v>
      </c>
      <c r="K498" s="24" t="n">
        <v>188.1</v>
      </c>
      <c r="L498" s="25" t="n">
        <v>3.08</v>
      </c>
      <c r="M498" s="26" t="n">
        <v>101.827</v>
      </c>
      <c r="N498" s="4" t="s">
        <v>35</v>
      </c>
      <c r="O498" s="27" t="n">
        <v>0.0221</v>
      </c>
      <c r="P498" s="28" t="n">
        <f aca="false">Summary!$C$6*O498</f>
        <v>0.0001105</v>
      </c>
      <c r="Q498" s="29" t="n">
        <f aca="false">Q497*(1+P498)</f>
        <v>16209.517745124</v>
      </c>
      <c r="R498" s="29" t="n">
        <f aca="false">MAX(R497,Q498)</f>
        <v>16612.6968961209</v>
      </c>
      <c r="S498" s="30" t="n">
        <f aca="false">Q498/R498-1</f>
        <v>-0.0242693376950131</v>
      </c>
      <c r="T498" s="31" t="n">
        <f aca="false">DATE(YEAR(F498),MONTH(F498),1)</f>
        <v>45536</v>
      </c>
    </row>
    <row r="499" customFormat="false" ht="15" hidden="false" customHeight="true" outlineLevel="0" collapsed="false">
      <c r="A499" s="4" t="n">
        <v>498</v>
      </c>
      <c r="B499" s="4" t="s">
        <v>28</v>
      </c>
      <c r="C499" s="4" t="s">
        <v>53</v>
      </c>
      <c r="D499" s="23" t="n">
        <v>45565.9166666667</v>
      </c>
      <c r="E499" s="23" t="n">
        <v>45566.5625</v>
      </c>
      <c r="F499" s="23" t="n">
        <v>45566.6875</v>
      </c>
      <c r="G499" s="4" t="n">
        <f aca="false">YEAR(E499)</f>
        <v>2024</v>
      </c>
      <c r="H499" s="4" t="str">
        <f aca="false">IF(E499&lt;DATE(2015,1,1),"2005–2014",IF(E499&lt;DATE(2022,3,5),"2015 – Mar 2022","Mar 2022 – Oct 2026"))</f>
        <v>Mar 2022 – Oct 2026</v>
      </c>
      <c r="I499" s="24" t="n">
        <v>191.096</v>
      </c>
      <c r="J499" s="24" t="n">
        <v>190.07</v>
      </c>
      <c r="K499" s="24" t="n">
        <v>197.623</v>
      </c>
      <c r="L499" s="25" t="n">
        <v>6.36</v>
      </c>
      <c r="M499" s="26" t="n">
        <v>102.619</v>
      </c>
      <c r="N499" s="4" t="s">
        <v>34</v>
      </c>
      <c r="O499" s="27" t="n">
        <v>-1.0073</v>
      </c>
      <c r="P499" s="28" t="n">
        <f aca="false">Summary!$C$6*O499</f>
        <v>-0.0050365</v>
      </c>
      <c r="Q499" s="29" t="n">
        <f aca="false">Q498*(1+P499)</f>
        <v>16127.8785090007</v>
      </c>
      <c r="R499" s="29" t="n">
        <f aca="false">MAX(R498,Q499)</f>
        <v>16612.6968961209</v>
      </c>
      <c r="S499" s="30" t="n">
        <f aca="false">Q499/R499-1</f>
        <v>-0.0291836051757121</v>
      </c>
      <c r="T499" s="31" t="n">
        <f aca="false">DATE(YEAR(F499),MONTH(F499),1)</f>
        <v>45566</v>
      </c>
    </row>
    <row r="500" customFormat="false" ht="15" hidden="false" customHeight="true" outlineLevel="0" collapsed="false">
      <c r="A500" s="4" t="n">
        <v>499</v>
      </c>
      <c r="B500" s="4" t="s">
        <v>28</v>
      </c>
      <c r="C500" s="4" t="s">
        <v>54</v>
      </c>
      <c r="D500" s="23" t="n">
        <v>45566.9166666667</v>
      </c>
      <c r="E500" s="23" t="n">
        <v>45567.3541666667</v>
      </c>
      <c r="F500" s="23" t="n">
        <v>45567.5104166667</v>
      </c>
      <c r="G500" s="4" t="n">
        <f aca="false">YEAR(E500)</f>
        <v>2024</v>
      </c>
      <c r="H500" s="4" t="str">
        <f aca="false">IF(E500&lt;DATE(2015,1,1),"2005–2014",IF(E500&lt;DATE(2022,3,5),"2015 – Mar 2022","Mar 2022 – Oct 2026"))</f>
        <v>Mar 2022 – Oct 2026</v>
      </c>
      <c r="I500" s="24" t="n">
        <v>191.815</v>
      </c>
      <c r="J500" s="24" t="n">
        <v>192.87</v>
      </c>
      <c r="K500" s="24" t="n">
        <v>188.512</v>
      </c>
      <c r="L500" s="25" t="n">
        <v>3.129</v>
      </c>
      <c r="M500" s="26" t="n">
        <v>105.562</v>
      </c>
      <c r="N500" s="4" t="s">
        <v>34</v>
      </c>
      <c r="O500" s="27" t="n">
        <v>-1.0071</v>
      </c>
      <c r="P500" s="28" t="n">
        <f aca="false">Summary!$C$6*O500</f>
        <v>-0.0050355</v>
      </c>
      <c r="Q500" s="29" t="n">
        <f aca="false">Q499*(1+P500)</f>
        <v>16046.6665767686</v>
      </c>
      <c r="R500" s="29" t="n">
        <f aca="false">MAX(R499,Q500)</f>
        <v>16612.6968961209</v>
      </c>
      <c r="S500" s="30" t="n">
        <f aca="false">Q500/R500-1</f>
        <v>-0.0340721511318498</v>
      </c>
      <c r="T500" s="31" t="n">
        <f aca="false">DATE(YEAR(F500),MONTH(F500),1)</f>
        <v>45566</v>
      </c>
    </row>
    <row r="501" customFormat="false" ht="15" hidden="false" customHeight="true" outlineLevel="0" collapsed="false">
      <c r="A501" s="4" t="n">
        <v>500</v>
      </c>
      <c r="B501" s="4" t="s">
        <v>28</v>
      </c>
      <c r="C501" s="4" t="s">
        <v>54</v>
      </c>
      <c r="D501" s="23" t="n">
        <v>45611.9166666667</v>
      </c>
      <c r="E501" s="23" t="n">
        <v>45614.0416666667</v>
      </c>
      <c r="F501" s="23" t="n">
        <v>45615.6770833333</v>
      </c>
      <c r="G501" s="4" t="n">
        <f aca="false">YEAR(E501)</f>
        <v>2024</v>
      </c>
      <c r="H501" s="4" t="str">
        <f aca="false">IF(E501&lt;DATE(2015,1,1),"2005–2014",IF(E501&lt;DATE(2022,3,5),"2015 – Mar 2022","Mar 2022 – Oct 2026"))</f>
        <v>Mar 2022 – Oct 2026</v>
      </c>
      <c r="I501" s="24" t="n">
        <v>195.65</v>
      </c>
      <c r="J501" s="24" t="n">
        <v>196.433</v>
      </c>
      <c r="K501" s="24" t="n">
        <v>193.204</v>
      </c>
      <c r="L501" s="25" t="n">
        <v>3.123</v>
      </c>
      <c r="M501" s="26" t="n">
        <v>78.336</v>
      </c>
      <c r="N501" s="4" t="s">
        <v>35</v>
      </c>
      <c r="O501" s="27" t="n">
        <v>0.0287</v>
      </c>
      <c r="P501" s="28" t="n">
        <f aca="false">Summary!$C$6*O501</f>
        <v>0.0001435</v>
      </c>
      <c r="Q501" s="29" t="n">
        <f aca="false">Q500*(1+P501)</f>
        <v>16048.9692734224</v>
      </c>
      <c r="R501" s="29" t="n">
        <f aca="false">MAX(R500,Q501)</f>
        <v>16612.6968961209</v>
      </c>
      <c r="S501" s="30" t="n">
        <f aca="false">Q501/R501-1</f>
        <v>-0.0339335404855371</v>
      </c>
      <c r="T501" s="31" t="n">
        <f aca="false">DATE(YEAR(F501),MONTH(F501),1)</f>
        <v>45597</v>
      </c>
    </row>
    <row r="502" customFormat="false" ht="15" hidden="false" customHeight="true" outlineLevel="0" collapsed="false">
      <c r="A502" s="4" t="n">
        <v>501</v>
      </c>
      <c r="B502" s="4" t="s">
        <v>27</v>
      </c>
      <c r="C502" s="4" t="s">
        <v>53</v>
      </c>
      <c r="D502" s="23" t="n">
        <v>45615.9166666667</v>
      </c>
      <c r="E502" s="23" t="n">
        <v>45616.1979166667</v>
      </c>
      <c r="F502" s="23" t="n">
        <v>45616.59375</v>
      </c>
      <c r="G502" s="4" t="n">
        <f aca="false">YEAR(E502)</f>
        <v>2024</v>
      </c>
      <c r="H502" s="4" t="str">
        <f aca="false">IF(E502&lt;DATE(2015,1,1),"2005–2014",IF(E502&lt;DATE(2022,3,5),"2015 – Mar 2022","Mar 2022 – Oct 2026"))</f>
        <v>Mar 2022 – Oct 2026</v>
      </c>
      <c r="I502" s="24" t="n">
        <v>196.636</v>
      </c>
      <c r="J502" s="24" t="n">
        <v>195.834</v>
      </c>
      <c r="K502" s="24" t="n">
        <v>199.054</v>
      </c>
      <c r="L502" s="25" t="n">
        <v>3.015</v>
      </c>
      <c r="M502" s="26" t="n">
        <v>80.199</v>
      </c>
      <c r="N502" s="4" t="s">
        <v>35</v>
      </c>
      <c r="O502" s="27" t="n">
        <v>0.0281</v>
      </c>
      <c r="P502" s="28" t="n">
        <f aca="false">Summary!$C$6*O502</f>
        <v>0.0001405</v>
      </c>
      <c r="Q502" s="29" t="n">
        <f aca="false">Q501*(1+P502)</f>
        <v>16051.2241536053</v>
      </c>
      <c r="R502" s="29" t="n">
        <f aca="false">MAX(R501,Q502)</f>
        <v>16612.6968961209</v>
      </c>
      <c r="S502" s="30" t="n">
        <f aca="false">Q502/R502-1</f>
        <v>-0.0337978081479752</v>
      </c>
      <c r="T502" s="31" t="n">
        <f aca="false">DATE(YEAR(F502),MONTH(F502),1)</f>
        <v>45597</v>
      </c>
    </row>
    <row r="503" customFormat="false" ht="15" hidden="false" customHeight="true" outlineLevel="0" collapsed="false">
      <c r="A503" s="4" t="n">
        <v>502</v>
      </c>
      <c r="B503" s="4" t="s">
        <v>28</v>
      </c>
      <c r="C503" s="4" t="s">
        <v>53</v>
      </c>
      <c r="D503" s="23" t="n">
        <v>45616.9166666667</v>
      </c>
      <c r="E503" s="23" t="n">
        <v>45617.3020833333</v>
      </c>
      <c r="F503" s="23" t="n">
        <v>45617.375</v>
      </c>
      <c r="G503" s="4" t="n">
        <f aca="false">YEAR(E503)</f>
        <v>2024</v>
      </c>
      <c r="H503" s="4" t="str">
        <f aca="false">IF(E503&lt;DATE(2015,1,1),"2005–2014",IF(E503&lt;DATE(2022,3,5),"2015 – Mar 2022","Mar 2022 – Oct 2026"))</f>
        <v>Mar 2022 – Oct 2026</v>
      </c>
      <c r="I503" s="24" t="n">
        <v>195.576</v>
      </c>
      <c r="J503" s="24" t="n">
        <v>194.777</v>
      </c>
      <c r="K503" s="24" t="n">
        <v>199.055</v>
      </c>
      <c r="L503" s="25" t="n">
        <v>4.358</v>
      </c>
      <c r="M503" s="26" t="n">
        <v>79.827</v>
      </c>
      <c r="N503" s="4" t="s">
        <v>34</v>
      </c>
      <c r="O503" s="27" t="n">
        <v>-1.0094</v>
      </c>
      <c r="P503" s="28" t="n">
        <f aca="false">Summary!$C$6*O503</f>
        <v>-0.005047</v>
      </c>
      <c r="Q503" s="29" t="n">
        <f aca="false">Q502*(1+P503)</f>
        <v>15970.2136253021</v>
      </c>
      <c r="R503" s="29" t="n">
        <f aca="false">MAX(R502,Q503)</f>
        <v>16612.6968961209</v>
      </c>
      <c r="S503" s="30" t="n">
        <f aca="false">Q503/R503-1</f>
        <v>-0.0386742306102524</v>
      </c>
      <c r="T503" s="31" t="n">
        <f aca="false">DATE(YEAR(F503),MONTH(F503),1)</f>
        <v>45597</v>
      </c>
    </row>
    <row r="504" customFormat="false" ht="15" hidden="false" customHeight="true" outlineLevel="0" collapsed="false">
      <c r="A504" s="4" t="n">
        <v>503</v>
      </c>
      <c r="B504" s="4" t="s">
        <v>28</v>
      </c>
      <c r="C504" s="4" t="s">
        <v>53</v>
      </c>
      <c r="D504" s="23" t="n">
        <v>45624.9166666667</v>
      </c>
      <c r="E504" s="23" t="n">
        <v>45625.0416666667</v>
      </c>
      <c r="F504" s="23" t="n">
        <v>45625.0729166667</v>
      </c>
      <c r="G504" s="4" t="n">
        <f aca="false">YEAR(E504)</f>
        <v>2024</v>
      </c>
      <c r="H504" s="4" t="str">
        <f aca="false">IF(E504&lt;DATE(2015,1,1),"2005–2014",IF(E504&lt;DATE(2022,3,5),"2015 – Mar 2022","Mar 2022 – Oct 2026"))</f>
        <v>Mar 2022 – Oct 2026</v>
      </c>
      <c r="I504" s="24" t="n">
        <v>191.115</v>
      </c>
      <c r="J504" s="24" t="n">
        <v>190.35</v>
      </c>
      <c r="K504" s="24" t="n">
        <v>194.179</v>
      </c>
      <c r="L504" s="25" t="n">
        <v>4.001</v>
      </c>
      <c r="M504" s="26" t="n">
        <v>76.558</v>
      </c>
      <c r="N504" s="4" t="s">
        <v>34</v>
      </c>
      <c r="O504" s="27" t="n">
        <v>-1.0098</v>
      </c>
      <c r="P504" s="28" t="n">
        <f aca="false">Summary!$C$6*O504</f>
        <v>-0.005049</v>
      </c>
      <c r="Q504" s="29" t="n">
        <f aca="false">Q503*(1+P504)</f>
        <v>15889.5800167079</v>
      </c>
      <c r="R504" s="29" t="n">
        <f aca="false">MAX(R503,Q504)</f>
        <v>16612.6968961209</v>
      </c>
      <c r="S504" s="30" t="n">
        <f aca="false">Q504/R504-1</f>
        <v>-0.0435279644199013</v>
      </c>
      <c r="T504" s="31" t="n">
        <f aca="false">DATE(YEAR(F504),MONTH(F504),1)</f>
        <v>45597</v>
      </c>
    </row>
    <row r="505" customFormat="false" ht="15" hidden="false" customHeight="true" outlineLevel="0" collapsed="false">
      <c r="A505" s="4" t="n">
        <v>504</v>
      </c>
      <c r="B505" s="4" t="s">
        <v>28</v>
      </c>
      <c r="C505" s="4" t="s">
        <v>54</v>
      </c>
      <c r="D505" s="23" t="n">
        <v>45638.9166666667</v>
      </c>
      <c r="E505" s="23" t="n">
        <v>45642.5208333333</v>
      </c>
      <c r="F505" s="23" t="n">
        <v>45642.6354166667</v>
      </c>
      <c r="G505" s="4" t="n">
        <f aca="false">YEAR(E505)</f>
        <v>2024</v>
      </c>
      <c r="H505" s="4" t="str">
        <f aca="false">IF(E505&lt;DATE(2015,1,1),"2005–2014",IF(E505&lt;DATE(2022,3,5),"2015 – Mar 2022","Mar 2022 – Oct 2026"))</f>
        <v>Mar 2022 – Oct 2026</v>
      </c>
      <c r="I505" s="24" t="n">
        <v>194.787</v>
      </c>
      <c r="J505" s="24" t="n">
        <v>195.615</v>
      </c>
      <c r="K505" s="24" t="n">
        <v>192.055</v>
      </c>
      <c r="L505" s="25" t="n">
        <v>3.295</v>
      </c>
      <c r="M505" s="26" t="n">
        <v>82.888</v>
      </c>
      <c r="N505" s="4" t="s">
        <v>34</v>
      </c>
      <c r="O505" s="27" t="n">
        <v>-1.009</v>
      </c>
      <c r="P505" s="28" t="n">
        <f aca="false">Summary!$C$6*O505</f>
        <v>-0.005045</v>
      </c>
      <c r="Q505" s="29" t="n">
        <f aca="false">Q504*(1+P505)</f>
        <v>15809.4170855236</v>
      </c>
      <c r="R505" s="29" t="n">
        <f aca="false">MAX(R504,Q505)</f>
        <v>16612.6968961209</v>
      </c>
      <c r="S505" s="30" t="n">
        <f aca="false">Q505/R505-1</f>
        <v>-0.0483533658394029</v>
      </c>
      <c r="T505" s="31" t="n">
        <f aca="false">DATE(YEAR(F505),MONTH(F505),1)</f>
        <v>45627</v>
      </c>
    </row>
    <row r="506" customFormat="false" ht="15" hidden="false" customHeight="true" outlineLevel="0" collapsed="false">
      <c r="A506" s="4" t="n">
        <v>505</v>
      </c>
      <c r="B506" s="4" t="s">
        <v>28</v>
      </c>
      <c r="C506" s="4" t="s">
        <v>53</v>
      </c>
      <c r="D506" s="23" t="n">
        <v>45642.9166666667</v>
      </c>
      <c r="E506" s="23" t="n">
        <v>45643.4270833333</v>
      </c>
      <c r="F506" s="23" t="n">
        <v>45645.34375</v>
      </c>
      <c r="G506" s="4" t="n">
        <f aca="false">YEAR(E506)</f>
        <v>2024</v>
      </c>
      <c r="H506" s="4" t="str">
        <f aca="false">IF(E506&lt;DATE(2015,1,1),"2005–2014",IF(E506&lt;DATE(2022,3,5),"2015 – Mar 2022","Mar 2022 – Oct 2026"))</f>
        <v>Mar 2022 – Oct 2026</v>
      </c>
      <c r="I506" s="24" t="n">
        <v>194.856</v>
      </c>
      <c r="J506" s="24" t="n">
        <v>194.033</v>
      </c>
      <c r="K506" s="24" t="n">
        <v>197.648</v>
      </c>
      <c r="L506" s="25" t="n">
        <v>3.389</v>
      </c>
      <c r="M506" s="26" t="n">
        <v>82.362</v>
      </c>
      <c r="N506" s="4" t="s">
        <v>33</v>
      </c>
      <c r="O506" s="27" t="n">
        <v>3.3892</v>
      </c>
      <c r="P506" s="28" t="n">
        <f aca="false">Summary!$C$6*O506</f>
        <v>0.016946</v>
      </c>
      <c r="Q506" s="29" t="n">
        <f aca="false">Q505*(1+P506)</f>
        <v>16077.3234674549</v>
      </c>
      <c r="R506" s="29" t="n">
        <f aca="false">MAX(R505,Q506)</f>
        <v>16612.6968961209</v>
      </c>
      <c r="S506" s="30" t="n">
        <f aca="false">Q506/R506-1</f>
        <v>-0.0322267619769174</v>
      </c>
      <c r="T506" s="31" t="n">
        <f aca="false">DATE(YEAR(F506),MONTH(F506),1)</f>
        <v>45627</v>
      </c>
    </row>
    <row r="507" customFormat="false" ht="15" hidden="false" customHeight="true" outlineLevel="0" collapsed="false">
      <c r="A507" s="4" t="n">
        <v>506</v>
      </c>
      <c r="B507" s="4" t="s">
        <v>28</v>
      </c>
      <c r="C507" s="4" t="s">
        <v>53</v>
      </c>
      <c r="D507" s="23" t="n">
        <v>45688.9166666667</v>
      </c>
      <c r="E507" s="23" t="n">
        <v>45690.9166666667</v>
      </c>
      <c r="F507" s="23" t="n">
        <v>45691.4791666667</v>
      </c>
      <c r="G507" s="4" t="n">
        <f aca="false">YEAR(E507)</f>
        <v>2025</v>
      </c>
      <c r="H507" s="4" t="str">
        <f aca="false">IF(E507&lt;DATE(2015,1,1),"2005–2014",IF(E507&lt;DATE(2022,3,5),"2015 – Mar 2022","Mar 2022 – Oct 2026"))</f>
        <v>Mar 2022 – Oct 2026</v>
      </c>
      <c r="I507" s="24" t="n">
        <v>191.072</v>
      </c>
      <c r="J507" s="24" t="n">
        <v>190.321</v>
      </c>
      <c r="K507" s="24" t="n">
        <v>194.18</v>
      </c>
      <c r="L507" s="25" t="n">
        <v>4.134</v>
      </c>
      <c r="M507" s="26" t="n">
        <v>75.182</v>
      </c>
      <c r="N507" s="4" t="s">
        <v>34</v>
      </c>
      <c r="O507" s="27" t="n">
        <v>-1.01</v>
      </c>
      <c r="P507" s="28" t="n">
        <f aca="false">Summary!$C$6*O507</f>
        <v>-0.00505</v>
      </c>
      <c r="Q507" s="29" t="n">
        <f aca="false">Q506*(1+P507)</f>
        <v>15996.1329839442</v>
      </c>
      <c r="R507" s="29" t="n">
        <f aca="false">MAX(R506,Q507)</f>
        <v>16612.6968961209</v>
      </c>
      <c r="S507" s="30" t="n">
        <f aca="false">Q507/R507-1</f>
        <v>-0.037114016828934</v>
      </c>
      <c r="T507" s="31" t="n">
        <f aca="false">DATE(YEAR(F507),MONTH(F507),1)</f>
        <v>45689</v>
      </c>
    </row>
    <row r="508" customFormat="false" ht="15" hidden="false" customHeight="true" outlineLevel="0" collapsed="false">
      <c r="A508" s="4" t="n">
        <v>507</v>
      </c>
      <c r="B508" s="4" t="s">
        <v>27</v>
      </c>
      <c r="C508" s="4" t="s">
        <v>53</v>
      </c>
      <c r="D508" s="23" t="n">
        <v>45692.9166666667</v>
      </c>
      <c r="E508" s="23" t="n">
        <v>45693.3541666667</v>
      </c>
      <c r="F508" s="23" t="n">
        <v>45693.625</v>
      </c>
      <c r="G508" s="4" t="n">
        <f aca="false">YEAR(E508)</f>
        <v>2025</v>
      </c>
      <c r="H508" s="4" t="str">
        <f aca="false">IF(E508&lt;DATE(2015,1,1),"2005–2014",IF(E508&lt;DATE(2022,3,5),"2015 – Mar 2022","Mar 2022 – Oct 2026"))</f>
        <v>Mar 2022 – Oct 2026</v>
      </c>
      <c r="I508" s="24" t="n">
        <v>191.448</v>
      </c>
      <c r="J508" s="24" t="n">
        <v>190.682</v>
      </c>
      <c r="K508" s="24" t="n">
        <v>194.179</v>
      </c>
      <c r="L508" s="25" t="n">
        <v>3.565</v>
      </c>
      <c r="M508" s="26" t="n">
        <v>76.585</v>
      </c>
      <c r="N508" s="4" t="s">
        <v>34</v>
      </c>
      <c r="O508" s="27" t="n">
        <v>-1.0098</v>
      </c>
      <c r="P508" s="28" t="n">
        <f aca="false">Summary!$C$6*O508</f>
        <v>-0.005049</v>
      </c>
      <c r="Q508" s="29" t="n">
        <f aca="false">Q507*(1+P508)</f>
        <v>15915.3685085083</v>
      </c>
      <c r="R508" s="29" t="n">
        <f aca="false">MAX(R507,Q508)</f>
        <v>16612.6968961209</v>
      </c>
      <c r="S508" s="30" t="n">
        <f aca="false">Q508/R508-1</f>
        <v>-0.0419756281579646</v>
      </c>
      <c r="T508" s="31" t="n">
        <f aca="false">DATE(YEAR(F508),MONTH(F508),1)</f>
        <v>45689</v>
      </c>
    </row>
    <row r="509" customFormat="false" ht="15" hidden="false" customHeight="true" outlineLevel="0" collapsed="false">
      <c r="A509" s="4" t="n">
        <v>508</v>
      </c>
      <c r="B509" s="4" t="s">
        <v>27</v>
      </c>
      <c r="C509" s="4" t="s">
        <v>54</v>
      </c>
      <c r="D509" s="23" t="n">
        <v>45714.9166666667</v>
      </c>
      <c r="E509" s="23" t="n">
        <v>45715.21875</v>
      </c>
      <c r="F509" s="23" t="n">
        <v>45715.3541666667</v>
      </c>
      <c r="G509" s="4" t="n">
        <f aca="false">YEAR(E509)</f>
        <v>2025</v>
      </c>
      <c r="H509" s="4" t="str">
        <f aca="false">IF(E509&lt;DATE(2015,1,1),"2005–2014",IF(E509&lt;DATE(2022,3,5),"2015 – Mar 2022","Mar 2022 – Oct 2026"))</f>
        <v>Mar 2022 – Oct 2026</v>
      </c>
      <c r="I509" s="24" t="n">
        <v>188.908</v>
      </c>
      <c r="J509" s="24" t="n">
        <v>189.674</v>
      </c>
      <c r="K509" s="24" t="n">
        <v>184.789</v>
      </c>
      <c r="L509" s="25" t="n">
        <v>5.376</v>
      </c>
      <c r="M509" s="26" t="n">
        <v>76.605</v>
      </c>
      <c r="N509" s="4" t="s">
        <v>34</v>
      </c>
      <c r="O509" s="27" t="n">
        <v>-1.0098</v>
      </c>
      <c r="P509" s="28" t="n">
        <f aca="false">Summary!$C$6*O509</f>
        <v>-0.005049</v>
      </c>
      <c r="Q509" s="29" t="n">
        <f aca="false">Q508*(1+P509)</f>
        <v>15835.0118129089</v>
      </c>
      <c r="R509" s="29" t="n">
        <f aca="false">MAX(R508,Q509)</f>
        <v>16612.6968961209</v>
      </c>
      <c r="S509" s="30" t="n">
        <f aca="false">Q509/R509-1</f>
        <v>-0.046812693211395</v>
      </c>
      <c r="T509" s="31" t="n">
        <f aca="false">DATE(YEAR(F509),MONTH(F509),1)</f>
        <v>45689</v>
      </c>
    </row>
    <row r="510" customFormat="false" ht="15" hidden="false" customHeight="true" outlineLevel="0" collapsed="false">
      <c r="A510" s="4" t="n">
        <v>509</v>
      </c>
      <c r="B510" s="4" t="s">
        <v>27</v>
      </c>
      <c r="C510" s="4" t="s">
        <v>54</v>
      </c>
      <c r="D510" s="23" t="n">
        <v>45719.9166666667</v>
      </c>
      <c r="E510" s="23" t="n">
        <v>45720.0416666667</v>
      </c>
      <c r="F510" s="23" t="n">
        <v>45720.6979166667</v>
      </c>
      <c r="G510" s="4" t="n">
        <f aca="false">YEAR(E510)</f>
        <v>2025</v>
      </c>
      <c r="H510" s="4" t="str">
        <f aca="false">IF(E510&lt;DATE(2015,1,1),"2005–2014",IF(E510&lt;DATE(2022,3,5),"2015 – Mar 2022","Mar 2022 – Oct 2026"))</f>
        <v>Mar 2022 – Oct 2026</v>
      </c>
      <c r="I510" s="24" t="n">
        <v>189.442</v>
      </c>
      <c r="J510" s="24" t="n">
        <v>190.259</v>
      </c>
      <c r="K510" s="24" t="n">
        <v>184.796</v>
      </c>
      <c r="L510" s="25" t="n">
        <v>5.691</v>
      </c>
      <c r="M510" s="26" t="n">
        <v>81.651</v>
      </c>
      <c r="N510" s="4" t="s">
        <v>35</v>
      </c>
      <c r="O510" s="27" t="n">
        <v>0.0276</v>
      </c>
      <c r="P510" s="28" t="n">
        <f aca="false">Summary!$C$6*O510</f>
        <v>0.000138</v>
      </c>
      <c r="Q510" s="29" t="n">
        <f aca="false">Q509*(1+P510)</f>
        <v>15837.197044539</v>
      </c>
      <c r="R510" s="29" t="n">
        <f aca="false">MAX(R509,Q510)</f>
        <v>16612.6968961209</v>
      </c>
      <c r="S510" s="30" t="n">
        <f aca="false">Q510/R510-1</f>
        <v>-0.0466811533630582</v>
      </c>
      <c r="T510" s="31" t="n">
        <f aca="false">DATE(YEAR(F510),MONTH(F510),1)</f>
        <v>45717</v>
      </c>
    </row>
    <row r="511" customFormat="false" ht="15" hidden="false" customHeight="true" outlineLevel="0" collapsed="false">
      <c r="A511" s="4" t="n">
        <v>510</v>
      </c>
      <c r="B511" s="4" t="s">
        <v>27</v>
      </c>
      <c r="C511" s="4" t="s">
        <v>53</v>
      </c>
      <c r="D511" s="23" t="n">
        <v>45721.9166666667</v>
      </c>
      <c r="E511" s="23" t="n">
        <v>45722.2708333333</v>
      </c>
      <c r="F511" s="23" t="n">
        <v>45722.3333333333</v>
      </c>
      <c r="G511" s="4" t="n">
        <f aca="false">YEAR(E511)</f>
        <v>2025</v>
      </c>
      <c r="H511" s="4" t="str">
        <f aca="false">IF(E511&lt;DATE(2015,1,1),"2005–2014",IF(E511&lt;DATE(2022,3,5),"2015 – Mar 2022","Mar 2022 – Oct 2026"))</f>
        <v>Mar 2022 – Oct 2026</v>
      </c>
      <c r="I511" s="24" t="n">
        <v>191.986</v>
      </c>
      <c r="J511" s="24" t="n">
        <v>191.143</v>
      </c>
      <c r="K511" s="24" t="n">
        <v>194.603</v>
      </c>
      <c r="L511" s="25" t="n">
        <v>3.105</v>
      </c>
      <c r="M511" s="26" t="n">
        <v>84.291</v>
      </c>
      <c r="N511" s="4" t="s">
        <v>34</v>
      </c>
      <c r="O511" s="27" t="n">
        <v>-1.0089</v>
      </c>
      <c r="P511" s="28" t="n">
        <f aca="false">Summary!$C$6*O511</f>
        <v>-0.0050445</v>
      </c>
      <c r="Q511" s="29" t="n">
        <f aca="false">Q510*(1+P511)</f>
        <v>15757.3063040479</v>
      </c>
      <c r="R511" s="29" t="n">
        <f aca="false">MAX(R510,Q511)</f>
        <v>16612.6968961209</v>
      </c>
      <c r="S511" s="30" t="n">
        <f aca="false">Q511/R511-1</f>
        <v>-0.0514901702849182</v>
      </c>
      <c r="T511" s="31" t="n">
        <f aca="false">DATE(YEAR(F511),MONTH(F511),1)</f>
        <v>45717</v>
      </c>
    </row>
    <row r="512" customFormat="false" ht="15" hidden="false" customHeight="true" outlineLevel="0" collapsed="false">
      <c r="A512" s="4" t="n">
        <v>511</v>
      </c>
      <c r="B512" s="4" t="s">
        <v>28</v>
      </c>
      <c r="C512" s="4" t="s">
        <v>54</v>
      </c>
      <c r="D512" s="23" t="n">
        <v>45726.9166666667</v>
      </c>
      <c r="E512" s="23" t="n">
        <v>45728</v>
      </c>
      <c r="F512" s="23" t="n">
        <v>45728.4583333333</v>
      </c>
      <c r="G512" s="4" t="n">
        <f aca="false">YEAR(E512)</f>
        <v>2025</v>
      </c>
      <c r="H512" s="4" t="str">
        <f aca="false">IF(E512&lt;DATE(2015,1,1),"2005–2014",IF(E512&lt;DATE(2022,3,5),"2015 – Mar 2022","Mar 2022 – Oct 2026"))</f>
        <v>Mar 2022 – Oct 2026</v>
      </c>
      <c r="I512" s="24" t="n">
        <v>191.709</v>
      </c>
      <c r="J512" s="24" t="n">
        <v>192.562</v>
      </c>
      <c r="K512" s="24" t="n">
        <v>188.631</v>
      </c>
      <c r="L512" s="25" t="n">
        <v>3.611</v>
      </c>
      <c r="M512" s="26" t="n">
        <v>85.25</v>
      </c>
      <c r="N512" s="4" t="s">
        <v>34</v>
      </c>
      <c r="O512" s="27" t="n">
        <v>-1.0088</v>
      </c>
      <c r="P512" s="28" t="n">
        <f aca="false">Summary!$C$6*O512</f>
        <v>-0.005044</v>
      </c>
      <c r="Q512" s="29" t="n">
        <f aca="false">Q511*(1+P512)</f>
        <v>15677.8264510502</v>
      </c>
      <c r="R512" s="29" t="n">
        <f aca="false">MAX(R511,Q512)</f>
        <v>16612.6968961209</v>
      </c>
      <c r="S512" s="30" t="n">
        <f aca="false">Q512/R512-1</f>
        <v>-0.0562744538660012</v>
      </c>
      <c r="T512" s="31" t="n">
        <f aca="false">DATE(YEAR(F512),MONTH(F512),1)</f>
        <v>45717</v>
      </c>
    </row>
    <row r="513" customFormat="false" ht="15" hidden="false" customHeight="true" outlineLevel="0" collapsed="false">
      <c r="A513" s="4" t="n">
        <v>512</v>
      </c>
      <c r="B513" s="4" t="s">
        <v>28</v>
      </c>
      <c r="C513" s="4" t="s">
        <v>53</v>
      </c>
      <c r="D513" s="23" t="n">
        <v>45728.9166666667</v>
      </c>
      <c r="E513" s="23" t="n">
        <v>45729.25</v>
      </c>
      <c r="F513" s="23" t="n">
        <v>45734.1145833333</v>
      </c>
      <c r="G513" s="4" t="n">
        <f aca="false">YEAR(E513)</f>
        <v>2025</v>
      </c>
      <c r="H513" s="4" t="str">
        <f aca="false">IF(E513&lt;DATE(2015,1,1),"2005–2014",IF(E513&lt;DATE(2022,3,5),"2015 – Mar 2022","Mar 2022 – Oct 2026"))</f>
        <v>Mar 2022 – Oct 2026</v>
      </c>
      <c r="I513" s="24" t="n">
        <v>191.386</v>
      </c>
      <c r="J513" s="24" t="n">
        <v>190.518</v>
      </c>
      <c r="K513" s="24" t="n">
        <v>194.166</v>
      </c>
      <c r="L513" s="25" t="n">
        <v>3.203</v>
      </c>
      <c r="M513" s="26" t="n">
        <v>86.801</v>
      </c>
      <c r="N513" s="4" t="s">
        <v>33</v>
      </c>
      <c r="O513" s="27" t="n">
        <v>3.2032</v>
      </c>
      <c r="P513" s="28" t="n">
        <f aca="false">Summary!$C$6*O513</f>
        <v>0.016016</v>
      </c>
      <c r="Q513" s="29" t="n">
        <f aca="false">Q512*(1+P513)</f>
        <v>15928.9225194903</v>
      </c>
      <c r="R513" s="29" t="n">
        <f aca="false">MAX(R512,Q513)</f>
        <v>16612.6968961209</v>
      </c>
      <c r="S513" s="30" t="n">
        <f aca="false">Q513/R513-1</f>
        <v>-0.0411597455191189</v>
      </c>
      <c r="T513" s="31" t="n">
        <f aca="false">DATE(YEAR(F513),MONTH(F513),1)</f>
        <v>45717</v>
      </c>
    </row>
    <row r="514" customFormat="false" ht="15" hidden="false" customHeight="true" outlineLevel="0" collapsed="false">
      <c r="A514" s="4" t="n">
        <v>513</v>
      </c>
      <c r="B514" s="4" t="s">
        <v>27</v>
      </c>
      <c r="C514" s="4" t="s">
        <v>54</v>
      </c>
      <c r="D514" s="23" t="n">
        <v>45734.9166666667</v>
      </c>
      <c r="E514" s="23" t="n">
        <v>45735.34375</v>
      </c>
      <c r="F514" s="23" t="n">
        <v>45740.2916666667</v>
      </c>
      <c r="G514" s="4" t="n">
        <f aca="false">YEAR(E514)</f>
        <v>2025</v>
      </c>
      <c r="H514" s="4" t="str">
        <f aca="false">IF(E514&lt;DATE(2015,1,1),"2005–2014",IF(E514&lt;DATE(2022,3,5),"2015 – Mar 2022","Mar 2022 – Oct 2026"))</f>
        <v>Mar 2022 – Oct 2026</v>
      </c>
      <c r="I514" s="24" t="n">
        <v>193.995</v>
      </c>
      <c r="J514" s="24" t="n">
        <v>194.803</v>
      </c>
      <c r="K514" s="24" t="n">
        <v>191.52</v>
      </c>
      <c r="L514" s="25" t="n">
        <v>3.064</v>
      </c>
      <c r="M514" s="26" t="n">
        <v>80.762</v>
      </c>
      <c r="N514" s="4" t="s">
        <v>35</v>
      </c>
      <c r="O514" s="27" t="n">
        <v>0.0279</v>
      </c>
      <c r="P514" s="28" t="n">
        <f aca="false">Summary!$C$6*O514</f>
        <v>0.0001395</v>
      </c>
      <c r="Q514" s="29" t="n">
        <f aca="false">Q513*(1+P514)</f>
        <v>15931.1446041817</v>
      </c>
      <c r="R514" s="29" t="n">
        <f aca="false">MAX(R513,Q514)</f>
        <v>16612.6968961209</v>
      </c>
      <c r="S514" s="30" t="n">
        <f aca="false">Q514/R514-1</f>
        <v>-0.041025987303619</v>
      </c>
      <c r="T514" s="31" t="n">
        <f aca="false">DATE(YEAR(F514),MONTH(F514),1)</f>
        <v>45717</v>
      </c>
    </row>
    <row r="515" customFormat="false" ht="15" hidden="false" customHeight="true" outlineLevel="0" collapsed="false">
      <c r="A515" s="4" t="n">
        <v>514</v>
      </c>
      <c r="B515" s="4" t="s">
        <v>27</v>
      </c>
      <c r="C515" s="4" t="s">
        <v>54</v>
      </c>
      <c r="D515" s="23" t="n">
        <v>45742.9166666667</v>
      </c>
      <c r="E515" s="23" t="n">
        <v>45743.8854166667</v>
      </c>
      <c r="F515" s="23" t="n">
        <v>45746.96875</v>
      </c>
      <c r="G515" s="4" t="n">
        <f aca="false">YEAR(E515)</f>
        <v>2025</v>
      </c>
      <c r="H515" s="4" t="str">
        <f aca="false">IF(E515&lt;DATE(2015,1,1),"2005–2014",IF(E515&lt;DATE(2022,3,5),"2015 – Mar 2022","Mar 2022 – Oct 2026"))</f>
        <v>Mar 2022 – Oct 2026</v>
      </c>
      <c r="I515" s="24" t="n">
        <v>195.648</v>
      </c>
      <c r="J515" s="24" t="n">
        <v>196.392</v>
      </c>
      <c r="K515" s="24" t="n">
        <v>193.199</v>
      </c>
      <c r="L515" s="25" t="n">
        <v>3.294</v>
      </c>
      <c r="M515" s="26" t="n">
        <v>74.36</v>
      </c>
      <c r="N515" s="4" t="s">
        <v>33</v>
      </c>
      <c r="O515" s="27" t="n">
        <v>3.2939</v>
      </c>
      <c r="P515" s="28" t="n">
        <f aca="false">Summary!$C$6*O515</f>
        <v>0.0164695</v>
      </c>
      <c r="Q515" s="29" t="n">
        <f aca="false">Q514*(1+P515)</f>
        <v>16193.5225902403</v>
      </c>
      <c r="R515" s="29" t="n">
        <f aca="false">MAX(R514,Q515)</f>
        <v>16612.6968961209</v>
      </c>
      <c r="S515" s="30" t="n">
        <f aca="false">Q515/R515-1</f>
        <v>-0.025232164801516</v>
      </c>
      <c r="T515" s="31" t="n">
        <f aca="false">DATE(YEAR(F515),MONTH(F515),1)</f>
        <v>45717</v>
      </c>
    </row>
    <row r="516" customFormat="false" ht="15" hidden="false" customHeight="true" outlineLevel="0" collapsed="false">
      <c r="A516" s="4" t="n">
        <v>515</v>
      </c>
      <c r="B516" s="4" t="s">
        <v>28</v>
      </c>
      <c r="C516" s="4" t="s">
        <v>54</v>
      </c>
      <c r="D516" s="23" t="n">
        <v>45763.9166666667</v>
      </c>
      <c r="E516" s="23" t="n">
        <v>45764.3229166667</v>
      </c>
      <c r="F516" s="23" t="n">
        <v>45769.8854166667</v>
      </c>
      <c r="G516" s="4" t="n">
        <f aca="false">YEAR(E516)</f>
        <v>2025</v>
      </c>
      <c r="H516" s="4" t="str">
        <f aca="false">IF(E516&lt;DATE(2015,1,1),"2005–2014",IF(E516&lt;DATE(2022,3,5),"2015 – Mar 2022","Mar 2022 – Oct 2026"))</f>
        <v>Mar 2022 – Oct 2026</v>
      </c>
      <c r="I516" s="24" t="n">
        <v>189.149</v>
      </c>
      <c r="J516" s="24" t="n">
        <v>190.124</v>
      </c>
      <c r="K516" s="24" t="n">
        <v>184.815</v>
      </c>
      <c r="L516" s="25" t="n">
        <v>4.446</v>
      </c>
      <c r="M516" s="26" t="n">
        <v>97.487</v>
      </c>
      <c r="N516" s="4" t="s">
        <v>35</v>
      </c>
      <c r="O516" s="27" t="n">
        <v>0.0231</v>
      </c>
      <c r="P516" s="28" t="n">
        <f aca="false">Summary!$C$6*O516</f>
        <v>0.0001155</v>
      </c>
      <c r="Q516" s="29" t="n">
        <f aca="false">Q515*(1+P516)</f>
        <v>16195.3929420995</v>
      </c>
      <c r="R516" s="29" t="n">
        <f aca="false">MAX(R515,Q516)</f>
        <v>16612.6968961209</v>
      </c>
      <c r="S516" s="30" t="n">
        <f aca="false">Q516/R516-1</f>
        <v>-0.0251195791165506</v>
      </c>
      <c r="T516" s="31" t="n">
        <f aca="false">DATE(YEAR(F516),MONTH(F516),1)</f>
        <v>45748</v>
      </c>
    </row>
    <row r="517" customFormat="false" ht="15" hidden="false" customHeight="true" outlineLevel="0" collapsed="false">
      <c r="A517" s="4" t="n">
        <v>516</v>
      </c>
      <c r="B517" s="4" t="s">
        <v>27</v>
      </c>
      <c r="C517" s="4" t="s">
        <v>53</v>
      </c>
      <c r="D517" s="23" t="n">
        <v>45770.9166666667</v>
      </c>
      <c r="E517" s="23" t="n">
        <v>45771.3645833333</v>
      </c>
      <c r="F517" s="23" t="n">
        <v>45778.53125</v>
      </c>
      <c r="G517" s="4" t="n">
        <f aca="false">YEAR(E517)</f>
        <v>2025</v>
      </c>
      <c r="H517" s="4" t="str">
        <f aca="false">IF(E517&lt;DATE(2015,1,1),"2005–2014",IF(E517&lt;DATE(2022,3,5),"2015 – Mar 2022","Mar 2022 – Oct 2026"))</f>
        <v>Mar 2022 – Oct 2026</v>
      </c>
      <c r="I517" s="24" t="n">
        <v>189.724</v>
      </c>
      <c r="J517" s="24" t="n">
        <v>188.855</v>
      </c>
      <c r="K517" s="24" t="n">
        <v>192.725</v>
      </c>
      <c r="L517" s="25" t="n">
        <v>3.452</v>
      </c>
      <c r="M517" s="26" t="n">
        <v>86.923</v>
      </c>
      <c r="N517" s="4" t="s">
        <v>33</v>
      </c>
      <c r="O517" s="27" t="n">
        <v>3.4525</v>
      </c>
      <c r="P517" s="28" t="n">
        <f aca="false">Summary!$C$6*O517</f>
        <v>0.0172625</v>
      </c>
      <c r="Q517" s="29" t="n">
        <f aca="false">Q516*(1+P517)</f>
        <v>16474.9659127625</v>
      </c>
      <c r="R517" s="29" t="n">
        <f aca="false">MAX(R516,Q517)</f>
        <v>16612.6968961209</v>
      </c>
      <c r="S517" s="30" t="n">
        <f aca="false">Q517/R517-1</f>
        <v>-0.00829070585105018</v>
      </c>
      <c r="T517" s="31" t="n">
        <f aca="false">DATE(YEAR(F517),MONTH(F517),1)</f>
        <v>45778</v>
      </c>
    </row>
    <row r="518" customFormat="false" ht="15" hidden="false" customHeight="true" outlineLevel="0" collapsed="false">
      <c r="A518" s="4" t="n">
        <v>517</v>
      </c>
      <c r="B518" s="4" t="s">
        <v>28</v>
      </c>
      <c r="C518" s="4" t="s">
        <v>53</v>
      </c>
      <c r="D518" s="23" t="n">
        <v>45778.9166666667</v>
      </c>
      <c r="E518" s="23" t="n">
        <v>45779.5625</v>
      </c>
      <c r="F518" s="23" t="n">
        <v>45782.9166666667</v>
      </c>
      <c r="G518" s="4" t="n">
        <f aca="false">YEAR(E518)</f>
        <v>2025</v>
      </c>
      <c r="H518" s="4" t="str">
        <f aca="false">IF(E518&lt;DATE(2015,1,1),"2005–2014",IF(E518&lt;DATE(2022,3,5),"2015 – Mar 2022","Mar 2022 – Oct 2026"))</f>
        <v>Mar 2022 – Oct 2026</v>
      </c>
      <c r="I518" s="24" t="n">
        <v>191.734</v>
      </c>
      <c r="J518" s="24" t="n">
        <v>190.947</v>
      </c>
      <c r="K518" s="24" t="n">
        <v>194.176</v>
      </c>
      <c r="L518" s="25" t="n">
        <v>3.105</v>
      </c>
      <c r="M518" s="26" t="n">
        <v>78.65</v>
      </c>
      <c r="N518" s="4" t="s">
        <v>34</v>
      </c>
      <c r="O518" s="27" t="n">
        <v>-1.0095</v>
      </c>
      <c r="P518" s="28" t="n">
        <f aca="false">Summary!$C$6*O518</f>
        <v>-0.0050475</v>
      </c>
      <c r="Q518" s="29" t="n">
        <f aca="false">Q517*(1+P518)</f>
        <v>16391.8085223178</v>
      </c>
      <c r="R518" s="29" t="n">
        <f aca="false">MAX(R517,Q518)</f>
        <v>16612.6968961209</v>
      </c>
      <c r="S518" s="30" t="n">
        <f aca="false">Q518/R518-1</f>
        <v>-0.0132963585132669</v>
      </c>
      <c r="T518" s="31" t="n">
        <f aca="false">DATE(YEAR(F518),MONTH(F518),1)</f>
        <v>45778</v>
      </c>
    </row>
    <row r="519" customFormat="false" ht="15" hidden="false" customHeight="true" outlineLevel="0" collapsed="false">
      <c r="A519" s="4" t="n">
        <v>518</v>
      </c>
      <c r="B519" s="4" t="s">
        <v>28</v>
      </c>
      <c r="C519" s="4" t="s">
        <v>54</v>
      </c>
      <c r="D519" s="23" t="n">
        <v>45783.9166666667</v>
      </c>
      <c r="E519" s="23" t="n">
        <v>45784.3229166667</v>
      </c>
      <c r="F519" s="23" t="n">
        <v>45785.34375</v>
      </c>
      <c r="G519" s="4" t="n">
        <f aca="false">YEAR(E519)</f>
        <v>2025</v>
      </c>
      <c r="H519" s="4" t="str">
        <f aca="false">IF(E519&lt;DATE(2015,1,1),"2005–2014",IF(E519&lt;DATE(2022,3,5),"2015 – Mar 2022","Mar 2022 – Oct 2026"))</f>
        <v>Mar 2022 – Oct 2026</v>
      </c>
      <c r="I519" s="24" t="n">
        <v>191.304</v>
      </c>
      <c r="J519" s="24" t="n">
        <v>192.059</v>
      </c>
      <c r="K519" s="24" t="n">
        <v>188.619</v>
      </c>
      <c r="L519" s="25" t="n">
        <v>3.557</v>
      </c>
      <c r="M519" s="26" t="n">
        <v>75.49</v>
      </c>
      <c r="N519" s="4" t="s">
        <v>34</v>
      </c>
      <c r="O519" s="27" t="n">
        <v>-1.0099</v>
      </c>
      <c r="P519" s="28" t="n">
        <f aca="false">Summary!$C$6*O519</f>
        <v>-0.0050495</v>
      </c>
      <c r="Q519" s="29" t="n">
        <f aca="false">Q518*(1+P519)</f>
        <v>16309.0380851844</v>
      </c>
      <c r="R519" s="29" t="n">
        <f aca="false">MAX(R518,Q519)</f>
        <v>16612.6968961209</v>
      </c>
      <c r="S519" s="30" t="n">
        <f aca="false">Q519/R519-1</f>
        <v>-0.0182787185509542</v>
      </c>
      <c r="T519" s="31" t="n">
        <f aca="false">DATE(YEAR(F519),MONTH(F519),1)</f>
        <v>45778</v>
      </c>
    </row>
    <row r="520" customFormat="false" ht="15" hidden="false" customHeight="true" outlineLevel="0" collapsed="false">
      <c r="A520" s="4" t="n">
        <v>519</v>
      </c>
      <c r="B520" s="4" t="s">
        <v>28</v>
      </c>
      <c r="C520" s="4" t="s">
        <v>53</v>
      </c>
      <c r="D520" s="23" t="n">
        <v>45804.9166666667</v>
      </c>
      <c r="E520" s="23" t="n">
        <v>45806.9270833333</v>
      </c>
      <c r="F520" s="23" t="n">
        <v>45807.5</v>
      </c>
      <c r="G520" s="4" t="n">
        <f aca="false">YEAR(E520)</f>
        <v>2025</v>
      </c>
      <c r="H520" s="4" t="str">
        <f aca="false">IF(E520&lt;DATE(2015,1,1),"2005–2014",IF(E520&lt;DATE(2022,3,5),"2015 – Mar 2022","Mar 2022 – Oct 2026"))</f>
        <v>Mar 2022 – Oct 2026</v>
      </c>
      <c r="I520" s="24" t="n">
        <v>194.3</v>
      </c>
      <c r="J520" s="24" t="n">
        <v>193.621</v>
      </c>
      <c r="K520" s="24" t="n">
        <v>196.605</v>
      </c>
      <c r="L520" s="25" t="n">
        <v>3.392</v>
      </c>
      <c r="M520" s="26" t="n">
        <v>67.943</v>
      </c>
      <c r="N520" s="4" t="s">
        <v>34</v>
      </c>
      <c r="O520" s="27" t="n">
        <v>-1.011</v>
      </c>
      <c r="P520" s="28" t="n">
        <f aca="false">Summary!$C$6*O520</f>
        <v>-0.005055</v>
      </c>
      <c r="Q520" s="29" t="n">
        <f aca="false">Q519*(1+P520)</f>
        <v>16226.5958976637</v>
      </c>
      <c r="R520" s="29" t="n">
        <f aca="false">MAX(R519,Q520)</f>
        <v>16612.6968961209</v>
      </c>
      <c r="S520" s="30" t="n">
        <f aca="false">Q520/R520-1</f>
        <v>-0.0232413196286793</v>
      </c>
      <c r="T520" s="31" t="n">
        <f aca="false">DATE(YEAR(F520),MONTH(F520),1)</f>
        <v>45778</v>
      </c>
    </row>
    <row r="521" customFormat="false" ht="15" hidden="false" customHeight="true" outlineLevel="0" collapsed="false">
      <c r="A521" s="4" t="n">
        <v>520</v>
      </c>
      <c r="B521" s="4" t="s">
        <v>28</v>
      </c>
      <c r="C521" s="4" t="s">
        <v>54</v>
      </c>
      <c r="D521" s="23" t="n">
        <v>45807.9166666667</v>
      </c>
      <c r="E521" s="23" t="n">
        <v>45811.6770833333</v>
      </c>
      <c r="F521" s="23" t="n">
        <v>45813.53125</v>
      </c>
      <c r="G521" s="4" t="n">
        <f aca="false">YEAR(E521)</f>
        <v>2025</v>
      </c>
      <c r="H521" s="4" t="str">
        <f aca="false">IF(E521&lt;DATE(2015,1,1),"2005–2014",IF(E521&lt;DATE(2022,3,5),"2015 – Mar 2022","Mar 2022 – Oct 2026"))</f>
        <v>Mar 2022 – Oct 2026</v>
      </c>
      <c r="I521" s="24" t="n">
        <v>194.725</v>
      </c>
      <c r="J521" s="24" t="n">
        <v>195.387</v>
      </c>
      <c r="K521" s="24" t="n">
        <v>192.228</v>
      </c>
      <c r="L521" s="25" t="n">
        <v>3.773</v>
      </c>
      <c r="M521" s="26" t="n">
        <v>66.2</v>
      </c>
      <c r="N521" s="4" t="s">
        <v>35</v>
      </c>
      <c r="O521" s="27" t="n">
        <v>0.034</v>
      </c>
      <c r="P521" s="28" t="n">
        <f aca="false">Summary!$C$6*O521</f>
        <v>0.00017</v>
      </c>
      <c r="Q521" s="29" t="n">
        <f aca="false">Q520*(1+P521)</f>
        <v>16229.3544189663</v>
      </c>
      <c r="R521" s="29" t="n">
        <f aca="false">MAX(R520,Q521)</f>
        <v>16612.6968961209</v>
      </c>
      <c r="S521" s="30" t="n">
        <f aca="false">Q521/R521-1</f>
        <v>-0.0230752706530161</v>
      </c>
      <c r="T521" s="31" t="n">
        <f aca="false">DATE(YEAR(F521),MONTH(F521),1)</f>
        <v>45809</v>
      </c>
    </row>
    <row r="522" customFormat="false" ht="15" hidden="false" customHeight="true" outlineLevel="0" collapsed="false">
      <c r="A522" s="4" t="n">
        <v>521</v>
      </c>
      <c r="B522" s="4" t="s">
        <v>28</v>
      </c>
      <c r="C522" s="4" t="s">
        <v>53</v>
      </c>
      <c r="D522" s="23" t="n">
        <v>45814.9166666667</v>
      </c>
      <c r="E522" s="23" t="n">
        <v>45818.28125</v>
      </c>
      <c r="F522" s="23" t="n">
        <v>45820.25</v>
      </c>
      <c r="G522" s="4" t="n">
        <f aca="false">YEAR(E522)</f>
        <v>2025</v>
      </c>
      <c r="H522" s="4" t="str">
        <f aca="false">IF(E522&lt;DATE(2015,1,1),"2005–2014",IF(E522&lt;DATE(2022,3,5),"2015 – Mar 2022","Mar 2022 – Oct 2026"))</f>
        <v>Mar 2022 – Oct 2026</v>
      </c>
      <c r="I522" s="24" t="n">
        <v>195.18</v>
      </c>
      <c r="J522" s="24" t="n">
        <v>194.505</v>
      </c>
      <c r="K522" s="24" t="n">
        <v>197.298</v>
      </c>
      <c r="L522" s="25" t="n">
        <v>3.14</v>
      </c>
      <c r="M522" s="26" t="n">
        <v>67.445</v>
      </c>
      <c r="N522" s="4" t="s">
        <v>35</v>
      </c>
      <c r="O522" s="27" t="n">
        <v>0.0334</v>
      </c>
      <c r="P522" s="28" t="n">
        <f aca="false">Summary!$C$6*O522</f>
        <v>0.000167</v>
      </c>
      <c r="Q522" s="29" t="n">
        <f aca="false">Q521*(1+P522)</f>
        <v>16232.0647211543</v>
      </c>
      <c r="R522" s="29" t="n">
        <f aca="false">MAX(R521,Q522)</f>
        <v>16612.6968961209</v>
      </c>
      <c r="S522" s="30" t="n">
        <f aca="false">Q522/R522-1</f>
        <v>-0.0229121242232151</v>
      </c>
      <c r="T522" s="31" t="n">
        <f aca="false">DATE(YEAR(F522),MONTH(F522),1)</f>
        <v>45809</v>
      </c>
    </row>
    <row r="523" customFormat="false" ht="15" hidden="false" customHeight="true" outlineLevel="0" collapsed="false">
      <c r="A523" s="4" t="n">
        <v>522</v>
      </c>
      <c r="B523" s="4" t="s">
        <v>27</v>
      </c>
      <c r="C523" s="4" t="s">
        <v>53</v>
      </c>
      <c r="D523" s="23" t="n">
        <v>45820.9166666667</v>
      </c>
      <c r="E523" s="23" t="n">
        <v>45821.1770833333</v>
      </c>
      <c r="F523" s="23" t="n">
        <v>45824.7291666667</v>
      </c>
      <c r="G523" s="4" t="n">
        <f aca="false">YEAR(E523)</f>
        <v>2025</v>
      </c>
      <c r="H523" s="4" t="str">
        <f aca="false">IF(E523&lt;DATE(2015,1,1),"2005–2014",IF(E523&lt;DATE(2022,3,5),"2015 – Mar 2022","Mar 2022 – Oct 2026"))</f>
        <v>Mar 2022 – Oct 2026</v>
      </c>
      <c r="I523" s="24" t="n">
        <v>194.35</v>
      </c>
      <c r="J523" s="24" t="n">
        <v>193.729</v>
      </c>
      <c r="K523" s="24" t="n">
        <v>196.234</v>
      </c>
      <c r="L523" s="25" t="n">
        <v>3.035</v>
      </c>
      <c r="M523" s="26" t="n">
        <v>62.077</v>
      </c>
      <c r="N523" s="4" t="s">
        <v>33</v>
      </c>
      <c r="O523" s="27" t="n">
        <v>3.0354</v>
      </c>
      <c r="P523" s="28" t="n">
        <f aca="false">Summary!$C$6*O523</f>
        <v>0.015177</v>
      </c>
      <c r="Q523" s="29" t="n">
        <f aca="false">Q522*(1+P523)</f>
        <v>16478.4187674273</v>
      </c>
      <c r="R523" s="29" t="n">
        <f aca="false">MAX(R522,Q523)</f>
        <v>16612.6968961209</v>
      </c>
      <c r="S523" s="30" t="n">
        <f aca="false">Q523/R523-1</f>
        <v>-0.00808286153255089</v>
      </c>
      <c r="T523" s="31" t="n">
        <f aca="false">DATE(YEAR(F523),MONTH(F523),1)</f>
        <v>45809</v>
      </c>
    </row>
    <row r="524" customFormat="false" ht="15" hidden="false" customHeight="true" outlineLevel="0" collapsed="false">
      <c r="A524" s="4" t="n">
        <v>523</v>
      </c>
      <c r="B524" s="4" t="s">
        <v>28</v>
      </c>
      <c r="C524" s="4" t="s">
        <v>53</v>
      </c>
      <c r="D524" s="23" t="n">
        <v>45824.9166666667</v>
      </c>
      <c r="E524" s="23" t="n">
        <v>45825.7395833333</v>
      </c>
      <c r="F524" s="23" t="n">
        <v>45826.5625</v>
      </c>
      <c r="G524" s="4" t="n">
        <f aca="false">YEAR(E524)</f>
        <v>2025</v>
      </c>
      <c r="H524" s="4" t="str">
        <f aca="false">IF(E524&lt;DATE(2015,1,1),"2005–2014",IF(E524&lt;DATE(2022,3,5),"2015 – Mar 2022","Mar 2022 – Oct 2026"))</f>
        <v>Mar 2022 – Oct 2026</v>
      </c>
      <c r="I524" s="24" t="n">
        <v>195.169</v>
      </c>
      <c r="J524" s="24" t="n">
        <v>194.536</v>
      </c>
      <c r="K524" s="24" t="n">
        <v>197.303</v>
      </c>
      <c r="L524" s="25" t="n">
        <v>3.371</v>
      </c>
      <c r="M524" s="26" t="n">
        <v>63.306</v>
      </c>
      <c r="N524" s="4" t="s">
        <v>34</v>
      </c>
      <c r="O524" s="27" t="n">
        <v>-1.0118</v>
      </c>
      <c r="P524" s="28" t="n">
        <f aca="false">Summary!$C$6*O524</f>
        <v>-0.005059</v>
      </c>
      <c r="Q524" s="29" t="n">
        <f aca="false">Q523*(1+P524)</f>
        <v>16395.0544468829</v>
      </c>
      <c r="R524" s="29" t="n">
        <f aca="false">MAX(R523,Q524)</f>
        <v>16612.6968961209</v>
      </c>
      <c r="S524" s="30" t="n">
        <f aca="false">Q524/R524-1</f>
        <v>-0.0131009703360578</v>
      </c>
      <c r="T524" s="31" t="n">
        <f aca="false">DATE(YEAR(F524),MONTH(F524),1)</f>
        <v>45809</v>
      </c>
    </row>
    <row r="525" customFormat="false" ht="15" hidden="false" customHeight="true" outlineLevel="0" collapsed="false">
      <c r="A525" s="4" t="n">
        <v>524</v>
      </c>
      <c r="B525" s="4" t="s">
        <v>27</v>
      </c>
      <c r="C525" s="4" t="s">
        <v>53</v>
      </c>
      <c r="D525" s="23" t="n">
        <v>45826.9166666667</v>
      </c>
      <c r="E525" s="23" t="n">
        <v>45827.1354166667</v>
      </c>
      <c r="F525" s="23" t="n">
        <v>45828.5520833333</v>
      </c>
      <c r="G525" s="4" t="n">
        <f aca="false">YEAR(E525)</f>
        <v>2025</v>
      </c>
      <c r="H525" s="4" t="str">
        <f aca="false">IF(E525&lt;DATE(2015,1,1),"2005–2014",IF(E525&lt;DATE(2022,3,5),"2015 – Mar 2022","Mar 2022 – Oct 2026"))</f>
        <v>Mar 2022 – Oct 2026</v>
      </c>
      <c r="I525" s="24" t="n">
        <v>194.466</v>
      </c>
      <c r="J525" s="24" t="n">
        <v>193.838</v>
      </c>
      <c r="K525" s="24" t="n">
        <v>196.611</v>
      </c>
      <c r="L525" s="25" t="n">
        <v>3.416</v>
      </c>
      <c r="M525" s="26" t="n">
        <v>62.805</v>
      </c>
      <c r="N525" s="4" t="s">
        <v>33</v>
      </c>
      <c r="O525" s="27" t="n">
        <v>3.416</v>
      </c>
      <c r="P525" s="28" t="n">
        <f aca="false">Summary!$C$6*O525</f>
        <v>0.01708</v>
      </c>
      <c r="Q525" s="29" t="n">
        <f aca="false">Q524*(1+P525)</f>
        <v>16675.0819768356</v>
      </c>
      <c r="R525" s="29" t="n">
        <f aca="false">MAX(R524,Q525)</f>
        <v>16675.0819768356</v>
      </c>
      <c r="S525" s="30" t="n">
        <f aca="false">Q525/R525-1</f>
        <v>0</v>
      </c>
      <c r="T525" s="31" t="n">
        <f aca="false">DATE(YEAR(F525),MONTH(F525),1)</f>
        <v>45809</v>
      </c>
    </row>
    <row r="526" customFormat="false" ht="15" hidden="false" customHeight="true" outlineLevel="0" collapsed="false">
      <c r="A526" s="4" t="n">
        <v>525</v>
      </c>
      <c r="B526" s="4" t="s">
        <v>27</v>
      </c>
      <c r="C526" s="4" t="s">
        <v>53</v>
      </c>
      <c r="D526" s="23" t="n">
        <v>45840.9166666667</v>
      </c>
      <c r="E526" s="23" t="n">
        <v>45841.1458333333</v>
      </c>
      <c r="F526" s="23" t="n">
        <v>45841.5833333333</v>
      </c>
      <c r="G526" s="4" t="n">
        <f aca="false">YEAR(E526)</f>
        <v>2025</v>
      </c>
      <c r="H526" s="4" t="str">
        <f aca="false">IF(E526&lt;DATE(2015,1,1),"2005–2014",IF(E526&lt;DATE(2022,3,5),"2015 – Mar 2022","Mar 2022 – Oct 2026"))</f>
        <v>Mar 2022 – Oct 2026</v>
      </c>
      <c r="I526" s="24" t="n">
        <v>195.976</v>
      </c>
      <c r="J526" s="24" t="n">
        <v>195.374</v>
      </c>
      <c r="K526" s="24" t="n">
        <v>197.882</v>
      </c>
      <c r="L526" s="25" t="n">
        <v>3.168</v>
      </c>
      <c r="M526" s="26" t="n">
        <v>60.156</v>
      </c>
      <c r="N526" s="4" t="s">
        <v>33</v>
      </c>
      <c r="O526" s="27" t="n">
        <v>3.1679</v>
      </c>
      <c r="P526" s="28" t="n">
        <f aca="false">Summary!$C$6*O526</f>
        <v>0.0158395</v>
      </c>
      <c r="Q526" s="29" t="n">
        <f aca="false">Q525*(1+P526)</f>
        <v>16939.2069378077</v>
      </c>
      <c r="R526" s="29" t="n">
        <f aca="false">MAX(R525,Q526)</f>
        <v>16939.2069378077</v>
      </c>
      <c r="S526" s="30" t="n">
        <f aca="false">Q526/R526-1</f>
        <v>0</v>
      </c>
      <c r="T526" s="31" t="n">
        <f aca="false">DATE(YEAR(F526),MONTH(F526),1)</f>
        <v>45839</v>
      </c>
    </row>
    <row r="527" customFormat="false" ht="15" hidden="false" customHeight="true" outlineLevel="0" collapsed="false">
      <c r="A527" s="4" t="n">
        <v>526</v>
      </c>
      <c r="B527" s="4" t="s">
        <v>27</v>
      </c>
      <c r="C527" s="4" t="s">
        <v>54</v>
      </c>
      <c r="D527" s="23" t="n">
        <v>45849.9166666667</v>
      </c>
      <c r="E527" s="23" t="n">
        <v>45852.15625</v>
      </c>
      <c r="F527" s="23" t="n">
        <v>45853.5520833333</v>
      </c>
      <c r="G527" s="4" t="n">
        <f aca="false">YEAR(E527)</f>
        <v>2025</v>
      </c>
      <c r="H527" s="4" t="str">
        <f aca="false">IF(E527&lt;DATE(2015,1,1),"2005–2014",IF(E527&lt;DATE(2022,3,5),"2015 – Mar 2022","Mar 2022 – Oct 2026"))</f>
        <v>Mar 2022 – Oct 2026</v>
      </c>
      <c r="I527" s="24" t="n">
        <v>198.658</v>
      </c>
      <c r="J527" s="24" t="n">
        <v>199.239</v>
      </c>
      <c r="K527" s="24" t="n">
        <v>196.759</v>
      </c>
      <c r="L527" s="25" t="n">
        <v>3.27</v>
      </c>
      <c r="M527" s="26" t="n">
        <v>58.08</v>
      </c>
      <c r="N527" s="4" t="s">
        <v>34</v>
      </c>
      <c r="O527" s="27" t="n">
        <v>-1.0129</v>
      </c>
      <c r="P527" s="28" t="n">
        <f aca="false">Summary!$C$6*O527</f>
        <v>-0.0050645</v>
      </c>
      <c r="Q527" s="29" t="n">
        <f aca="false">Q526*(1+P527)</f>
        <v>16853.4183242712</v>
      </c>
      <c r="R527" s="29" t="n">
        <f aca="false">MAX(R526,Q527)</f>
        <v>16939.2069378077</v>
      </c>
      <c r="S527" s="30" t="n">
        <f aca="false">Q527/R527-1</f>
        <v>-0.00506449999999992</v>
      </c>
      <c r="T527" s="31" t="n">
        <f aca="false">DATE(YEAR(F527),MONTH(F527),1)</f>
        <v>45839</v>
      </c>
    </row>
    <row r="528" customFormat="false" ht="15" hidden="false" customHeight="true" outlineLevel="0" collapsed="false">
      <c r="A528" s="4" t="n">
        <v>527</v>
      </c>
      <c r="B528" s="4" t="s">
        <v>28</v>
      </c>
      <c r="C528" s="4" t="s">
        <v>54</v>
      </c>
      <c r="D528" s="23" t="n">
        <v>45859.9166666667</v>
      </c>
      <c r="E528" s="23" t="n">
        <v>45860.2708333333</v>
      </c>
      <c r="F528" s="23" t="n">
        <v>45866.4479166667</v>
      </c>
      <c r="G528" s="4" t="n">
        <f aca="false">YEAR(E528)</f>
        <v>2025</v>
      </c>
      <c r="H528" s="4" t="str">
        <f aca="false">IF(E528&lt;DATE(2015,1,1),"2005–2014",IF(E528&lt;DATE(2022,3,5),"2015 – Mar 2022","Mar 2022 – Oct 2026"))</f>
        <v>Mar 2022 – Oct 2026</v>
      </c>
      <c r="I528" s="24" t="n">
        <v>199.188</v>
      </c>
      <c r="J528" s="24" t="n">
        <v>199.734</v>
      </c>
      <c r="K528" s="24" t="n">
        <v>197.447</v>
      </c>
      <c r="L528" s="25" t="n">
        <v>3.187</v>
      </c>
      <c r="M528" s="26" t="n">
        <v>54.645</v>
      </c>
      <c r="N528" s="4" t="s">
        <v>35</v>
      </c>
      <c r="O528" s="27" t="n">
        <v>0.0412</v>
      </c>
      <c r="P528" s="28" t="n">
        <f aca="false">Summary!$C$6*O528</f>
        <v>0.000206</v>
      </c>
      <c r="Q528" s="29" t="n">
        <f aca="false">Q527*(1+P528)</f>
        <v>16856.890128446</v>
      </c>
      <c r="R528" s="29" t="n">
        <f aca="false">MAX(R527,Q528)</f>
        <v>16939.2069378077</v>
      </c>
      <c r="S528" s="30" t="n">
        <f aca="false">Q528/R528-1</f>
        <v>-0.004859543287</v>
      </c>
      <c r="T528" s="31" t="n">
        <f aca="false">DATE(YEAR(F528),MONTH(F528),1)</f>
        <v>45839</v>
      </c>
    </row>
    <row r="529" customFormat="false" ht="15" hidden="false" customHeight="true" outlineLevel="0" collapsed="false">
      <c r="A529" s="4" t="n">
        <v>528</v>
      </c>
      <c r="B529" s="4" t="s">
        <v>27</v>
      </c>
      <c r="C529" s="4" t="s">
        <v>54</v>
      </c>
      <c r="D529" s="23" t="n">
        <v>45866.9166666667</v>
      </c>
      <c r="E529" s="23" t="n">
        <v>45867.3645833333</v>
      </c>
      <c r="F529" s="23" t="n">
        <v>45868.4166666667</v>
      </c>
      <c r="G529" s="4" t="n">
        <f aca="false">YEAR(E529)</f>
        <v>2025</v>
      </c>
      <c r="H529" s="4" t="str">
        <f aca="false">IF(E529&lt;DATE(2015,1,1),"2005–2014",IF(E529&lt;DATE(2022,3,5),"2015 – Mar 2022","Mar 2022 – Oct 2026"))</f>
        <v>Mar 2022 – Oct 2026</v>
      </c>
      <c r="I529" s="24" t="n">
        <v>198.191</v>
      </c>
      <c r="J529" s="24" t="n">
        <v>198.715</v>
      </c>
      <c r="K529" s="24" t="n">
        <v>196.593</v>
      </c>
      <c r="L529" s="25" t="n">
        <v>3.052</v>
      </c>
      <c r="M529" s="26" t="n">
        <v>52.359</v>
      </c>
      <c r="N529" s="4" t="s">
        <v>35</v>
      </c>
      <c r="O529" s="27" t="n">
        <v>0.043</v>
      </c>
      <c r="P529" s="28" t="n">
        <f aca="false">Summary!$C$6*O529</f>
        <v>0.000215</v>
      </c>
      <c r="Q529" s="29" t="n">
        <f aca="false">Q528*(1+P529)</f>
        <v>16860.5143598236</v>
      </c>
      <c r="R529" s="29" t="n">
        <f aca="false">MAX(R528,Q529)</f>
        <v>16939.2069378077</v>
      </c>
      <c r="S529" s="30" t="n">
        <f aca="false">Q529/R529-1</f>
        <v>-0.00464558808880666</v>
      </c>
      <c r="T529" s="31" t="n">
        <f aca="false">DATE(YEAR(F529),MONTH(F529),1)</f>
        <v>45839</v>
      </c>
    </row>
    <row r="530" customFormat="false" ht="15" hidden="false" customHeight="true" outlineLevel="0" collapsed="false">
      <c r="A530" s="4" t="n">
        <v>529</v>
      </c>
      <c r="B530" s="4" t="s">
        <v>28</v>
      </c>
      <c r="C530" s="4" t="s">
        <v>54</v>
      </c>
      <c r="D530" s="23" t="n">
        <v>45868.9166666667</v>
      </c>
      <c r="E530" s="23" t="n">
        <v>45869.3229166667</v>
      </c>
      <c r="F530" s="23" t="n">
        <v>45869.59375</v>
      </c>
      <c r="G530" s="4" t="n">
        <f aca="false">YEAR(E530)</f>
        <v>2025</v>
      </c>
      <c r="H530" s="4" t="str">
        <f aca="false">IF(E530&lt;DATE(2015,1,1),"2005–2014",IF(E530&lt;DATE(2022,3,5),"2015 – Mar 2022","Mar 2022 – Oct 2026"))</f>
        <v>Mar 2022 – Oct 2026</v>
      </c>
      <c r="I530" s="24" t="n">
        <v>198.314</v>
      </c>
      <c r="J530" s="24" t="n">
        <v>198.815</v>
      </c>
      <c r="K530" s="24" t="n">
        <v>196.749</v>
      </c>
      <c r="L530" s="25" t="n">
        <v>3.119</v>
      </c>
      <c r="M530" s="26" t="n">
        <v>50.16</v>
      </c>
      <c r="N530" s="4" t="s">
        <v>34</v>
      </c>
      <c r="O530" s="27" t="n">
        <v>-1.015</v>
      </c>
      <c r="P530" s="28" t="n">
        <f aca="false">Summary!$C$6*O530</f>
        <v>-0.005075</v>
      </c>
      <c r="Q530" s="29" t="n">
        <f aca="false">Q529*(1+P530)</f>
        <v>16774.9472494475</v>
      </c>
      <c r="R530" s="29" t="n">
        <f aca="false">MAX(R529,Q530)</f>
        <v>16939.2069378077</v>
      </c>
      <c r="S530" s="30" t="n">
        <f aca="false">Q530/R530-1</f>
        <v>-0.00969701172925608</v>
      </c>
      <c r="T530" s="31" t="n">
        <f aca="false">DATE(YEAR(F530),MONTH(F530),1)</f>
        <v>45839</v>
      </c>
    </row>
    <row r="531" customFormat="false" ht="15" hidden="false" customHeight="true" outlineLevel="0" collapsed="false">
      <c r="A531" s="4" t="n">
        <v>530</v>
      </c>
      <c r="B531" s="4" t="s">
        <v>28</v>
      </c>
      <c r="C531" s="4" t="s">
        <v>54</v>
      </c>
      <c r="D531" s="23" t="n">
        <v>45870.9166666667</v>
      </c>
      <c r="E531" s="23" t="n">
        <v>45873.1145833333</v>
      </c>
      <c r="F531" s="23" t="n">
        <v>45874.4166666667</v>
      </c>
      <c r="G531" s="4" t="n">
        <f aca="false">YEAR(E531)</f>
        <v>2025</v>
      </c>
      <c r="H531" s="4" t="str">
        <f aca="false">IF(E531&lt;DATE(2015,1,1),"2005–2014",IF(E531&lt;DATE(2022,3,5),"2015 – Mar 2022","Mar 2022 – Oct 2026"))</f>
        <v>Mar 2022 – Oct 2026</v>
      </c>
      <c r="I531" s="24" t="n">
        <v>196.34</v>
      </c>
      <c r="J531" s="24" t="n">
        <v>196.958</v>
      </c>
      <c r="K531" s="24" t="n">
        <v>194.409</v>
      </c>
      <c r="L531" s="25" t="n">
        <v>3.122</v>
      </c>
      <c r="M531" s="26" t="n">
        <v>61.827</v>
      </c>
      <c r="N531" s="4" t="s">
        <v>35</v>
      </c>
      <c r="O531" s="27" t="n">
        <v>0.0364</v>
      </c>
      <c r="P531" s="28" t="n">
        <f aca="false">Summary!$C$6*O531</f>
        <v>0.000182</v>
      </c>
      <c r="Q531" s="29" t="n">
        <f aca="false">Q530*(1+P531)</f>
        <v>16778.0002898469</v>
      </c>
      <c r="R531" s="29" t="n">
        <f aca="false">MAX(R530,Q531)</f>
        <v>16939.2069378077</v>
      </c>
      <c r="S531" s="30" t="n">
        <f aca="false">Q531/R531-1</f>
        <v>-0.00951677658539085</v>
      </c>
      <c r="T531" s="31" t="n">
        <f aca="false">DATE(YEAR(F531),MONTH(F531),1)</f>
        <v>45870</v>
      </c>
    </row>
    <row r="532" customFormat="false" ht="15" hidden="false" customHeight="true" outlineLevel="0" collapsed="false">
      <c r="A532" s="4" t="n">
        <v>531</v>
      </c>
      <c r="B532" s="4" t="s">
        <v>28</v>
      </c>
      <c r="C532" s="4" t="s">
        <v>54</v>
      </c>
      <c r="D532" s="23" t="n">
        <v>45897.9166666667</v>
      </c>
      <c r="E532" s="23" t="n">
        <v>45901.03125</v>
      </c>
      <c r="F532" s="23" t="n">
        <v>45901.6041666667</v>
      </c>
      <c r="G532" s="4" t="n">
        <f aca="false">YEAR(E532)</f>
        <v>2025</v>
      </c>
      <c r="H532" s="4" t="str">
        <f aca="false">IF(E532&lt;DATE(2015,1,1),"2005–2014",IF(E532&lt;DATE(2022,3,5),"2015 – Mar 2022","Mar 2022 – Oct 2026"))</f>
        <v>Mar 2022 – Oct 2026</v>
      </c>
      <c r="I532" s="24" t="n">
        <v>199.004</v>
      </c>
      <c r="J532" s="24" t="n">
        <v>199.478</v>
      </c>
      <c r="K532" s="24" t="n">
        <v>197.438</v>
      </c>
      <c r="L532" s="25" t="n">
        <v>3.308</v>
      </c>
      <c r="M532" s="26" t="n">
        <v>47.354</v>
      </c>
      <c r="N532" s="4" t="s">
        <v>34</v>
      </c>
      <c r="O532" s="27" t="n">
        <v>-1.0158</v>
      </c>
      <c r="P532" s="28" t="n">
        <f aca="false">Summary!$C$6*O532</f>
        <v>-0.005079</v>
      </c>
      <c r="Q532" s="29" t="n">
        <f aca="false">Q531*(1+P532)</f>
        <v>16692.7848263748</v>
      </c>
      <c r="R532" s="29" t="n">
        <f aca="false">MAX(R531,Q532)</f>
        <v>16939.2069378077</v>
      </c>
      <c r="S532" s="30" t="n">
        <f aca="false">Q532/R532-1</f>
        <v>-0.0145474408771137</v>
      </c>
      <c r="T532" s="31" t="n">
        <f aca="false">DATE(YEAR(F532),MONTH(F532),1)</f>
        <v>45901</v>
      </c>
    </row>
    <row r="533" customFormat="false" ht="15" hidden="false" customHeight="true" outlineLevel="0" collapsed="false">
      <c r="A533" s="4" t="n">
        <v>532</v>
      </c>
      <c r="B533" s="4" t="s">
        <v>27</v>
      </c>
      <c r="C533" s="4" t="s">
        <v>54</v>
      </c>
      <c r="D533" s="23" t="n">
        <v>45923.9166666667</v>
      </c>
      <c r="E533" s="23" t="n">
        <v>45924.0104166667</v>
      </c>
      <c r="F533" s="23" t="n">
        <v>45924.3854166667</v>
      </c>
      <c r="G533" s="4" t="n">
        <f aca="false">YEAR(E533)</f>
        <v>2025</v>
      </c>
      <c r="H533" s="4" t="str">
        <f aca="false">IF(E533&lt;DATE(2015,1,1),"2005–2014",IF(E533&lt;DATE(2022,3,5),"2015 – Mar 2022","Mar 2022 – Oct 2026"))</f>
        <v>Mar 2022 – Oct 2026</v>
      </c>
      <c r="I533" s="24" t="n">
        <v>199.59</v>
      </c>
      <c r="J533" s="24" t="n">
        <v>200.011</v>
      </c>
      <c r="K533" s="24" t="n">
        <v>198.283</v>
      </c>
      <c r="L533" s="25" t="n">
        <v>3.104</v>
      </c>
      <c r="M533" s="26" t="n">
        <v>42.092</v>
      </c>
      <c r="N533" s="4" t="s">
        <v>34</v>
      </c>
      <c r="O533" s="27" t="n">
        <v>-1.0178</v>
      </c>
      <c r="P533" s="28" t="n">
        <f aca="false">Summary!$C$6*O533</f>
        <v>-0.005089</v>
      </c>
      <c r="Q533" s="29" t="n">
        <f aca="false">Q532*(1+P533)</f>
        <v>16607.8352443933</v>
      </c>
      <c r="R533" s="29" t="n">
        <f aca="false">MAX(R532,Q533)</f>
        <v>16939.2069378077</v>
      </c>
      <c r="S533" s="30" t="n">
        <f aca="false">Q533/R533-1</f>
        <v>-0.0195624089504901</v>
      </c>
      <c r="T533" s="31" t="n">
        <f aca="false">DATE(YEAR(F533),MONTH(F533),1)</f>
        <v>45901</v>
      </c>
    </row>
    <row r="534" customFormat="false" ht="15" hidden="false" customHeight="true" outlineLevel="0" collapsed="false">
      <c r="A534" s="4" t="n">
        <v>533</v>
      </c>
      <c r="B534" s="4" t="s">
        <v>27</v>
      </c>
      <c r="C534" s="4" t="s">
        <v>53</v>
      </c>
      <c r="D534" s="23" t="n">
        <v>45967.9166666667</v>
      </c>
      <c r="E534" s="23" t="n">
        <v>45968.0416666667</v>
      </c>
      <c r="F534" s="23" t="n">
        <v>45974.6979166667</v>
      </c>
      <c r="G534" s="4" t="n">
        <f aca="false">YEAR(E534)</f>
        <v>2025</v>
      </c>
      <c r="H534" s="4" t="str">
        <f aca="false">IF(E534&lt;DATE(2015,1,1),"2005–2014",IF(E534&lt;DATE(2022,3,5),"2015 – Mar 2022","Mar 2022 – Oct 2026"))</f>
        <v>Mar 2022 – Oct 2026</v>
      </c>
      <c r="I534" s="24" t="n">
        <v>201.074</v>
      </c>
      <c r="J534" s="24" t="n">
        <v>200.455</v>
      </c>
      <c r="K534" s="24" t="n">
        <v>203.833</v>
      </c>
      <c r="L534" s="25" t="n">
        <v>4.46</v>
      </c>
      <c r="M534" s="26" t="n">
        <v>61.852</v>
      </c>
      <c r="N534" s="4" t="s">
        <v>33</v>
      </c>
      <c r="O534" s="27" t="n">
        <v>4.46</v>
      </c>
      <c r="P534" s="28" t="n">
        <f aca="false">Summary!$C$6*O534</f>
        <v>0.0223</v>
      </c>
      <c r="Q534" s="29" t="n">
        <f aca="false">Q533*(1+P534)</f>
        <v>16978.1899703433</v>
      </c>
      <c r="R534" s="29" t="n">
        <f aca="false">MAX(R533,Q534)</f>
        <v>16978.1899703433</v>
      </c>
      <c r="S534" s="30" t="n">
        <f aca="false">Q534/R534-1</f>
        <v>0</v>
      </c>
      <c r="T534" s="31" t="n">
        <f aca="false">DATE(YEAR(F534),MONTH(F534),1)</f>
        <v>45962</v>
      </c>
    </row>
    <row r="535" customFormat="false" ht="15" hidden="false" customHeight="true" outlineLevel="0" collapsed="false">
      <c r="A535" s="4" t="n">
        <v>534</v>
      </c>
      <c r="B535" s="4" t="s">
        <v>27</v>
      </c>
      <c r="C535" s="4" t="s">
        <v>53</v>
      </c>
      <c r="D535" s="23" t="n">
        <v>46048.9166666667</v>
      </c>
      <c r="E535" s="23" t="n">
        <v>46049.40625</v>
      </c>
      <c r="F535" s="23" t="n">
        <v>46049.40625</v>
      </c>
      <c r="G535" s="4" t="n">
        <f aca="false">YEAR(E535)</f>
        <v>2026</v>
      </c>
      <c r="H535" s="4" t="str">
        <f aca="false">IF(E535&lt;DATE(2015,1,1),"2005–2014",IF(E535&lt;DATE(2022,3,5),"2015 – Mar 2022","Mar 2022 – Oct 2026"))</f>
        <v>Mar 2022 – Oct 2026</v>
      </c>
      <c r="I535" s="24" t="n">
        <v>211.204</v>
      </c>
      <c r="J535" s="24" t="n">
        <v>210.59</v>
      </c>
      <c r="K535" s="24" t="n">
        <v>213.589</v>
      </c>
      <c r="L535" s="25" t="n">
        <v>3.885</v>
      </c>
      <c r="M535" s="26" t="n">
        <v>61.387</v>
      </c>
      <c r="N535" s="4" t="s">
        <v>34</v>
      </c>
      <c r="O535" s="27" t="n">
        <v>-1.0122</v>
      </c>
      <c r="P535" s="28" t="n">
        <f aca="false">Summary!$C$6*O535</f>
        <v>-0.005061</v>
      </c>
      <c r="Q535" s="29" t="n">
        <f aca="false">Q534*(1+P535)</f>
        <v>16892.2633509034</v>
      </c>
      <c r="R535" s="29" t="n">
        <f aca="false">MAX(R534,Q535)</f>
        <v>16978.1899703433</v>
      </c>
      <c r="S535" s="30" t="n">
        <f aca="false">Q535/R535-1</f>
        <v>-0.00506099999999987</v>
      </c>
      <c r="T535" s="31" t="n">
        <f aca="false">DATE(YEAR(F535),MONTH(F535),1)</f>
        <v>46023</v>
      </c>
    </row>
    <row r="536" customFormat="false" ht="15" hidden="false" customHeight="true" outlineLevel="0" collapsed="false">
      <c r="A536" s="4" t="n">
        <v>535</v>
      </c>
      <c r="B536" s="4" t="s">
        <v>27</v>
      </c>
      <c r="C536" s="4" t="s">
        <v>53</v>
      </c>
      <c r="D536" s="23" t="n">
        <v>46049.9166666667</v>
      </c>
      <c r="E536" s="23" t="n">
        <v>46050.0520833333</v>
      </c>
      <c r="F536" s="23" t="n">
        <v>46050.2083333333</v>
      </c>
      <c r="G536" s="4" t="n">
        <f aca="false">YEAR(E536)</f>
        <v>2026</v>
      </c>
      <c r="H536" s="4" t="str">
        <f aca="false">IF(E536&lt;DATE(2015,1,1),"2005–2014",IF(E536&lt;DATE(2022,3,5),"2015 – Mar 2022","Mar 2022 – Oct 2026"))</f>
        <v>Mar 2022 – Oct 2026</v>
      </c>
      <c r="I536" s="24" t="n">
        <v>211.048</v>
      </c>
      <c r="J536" s="24" t="n">
        <v>210.42</v>
      </c>
      <c r="K536" s="24" t="n">
        <v>213.587</v>
      </c>
      <c r="L536" s="25" t="n">
        <v>4.047</v>
      </c>
      <c r="M536" s="26" t="n">
        <v>62.751</v>
      </c>
      <c r="N536" s="4" t="s">
        <v>34</v>
      </c>
      <c r="O536" s="27" t="n">
        <v>-1.012</v>
      </c>
      <c r="P536" s="28" t="n">
        <f aca="false">Summary!$C$6*O536</f>
        <v>-0.00506</v>
      </c>
      <c r="Q536" s="29" t="n">
        <f aca="false">Q535*(1+P536)</f>
        <v>16806.7884983478</v>
      </c>
      <c r="R536" s="29" t="n">
        <f aca="false">MAX(R535,Q536)</f>
        <v>16978.1899703433</v>
      </c>
      <c r="S536" s="30" t="n">
        <f aca="false">Q536/R536-1</f>
        <v>-0.0100953913399998</v>
      </c>
      <c r="T536" s="31" t="n">
        <f aca="false">DATE(YEAR(F536),MONTH(F536),1)</f>
        <v>46023</v>
      </c>
    </row>
    <row r="537" customFormat="false" ht="15" hidden="false" customHeight="true" outlineLevel="0" collapsed="false">
      <c r="A537" s="4" t="n">
        <v>536</v>
      </c>
      <c r="B537" s="4" t="s">
        <v>28</v>
      </c>
      <c r="C537" s="4" t="s">
        <v>53</v>
      </c>
      <c r="D537" s="23" t="n">
        <v>46078.9166666667</v>
      </c>
      <c r="E537" s="23" t="n">
        <v>46079.3645833333</v>
      </c>
      <c r="F537" s="23" t="n">
        <v>46080.0104166667</v>
      </c>
      <c r="G537" s="4" t="n">
        <f aca="false">YEAR(E537)</f>
        <v>2026</v>
      </c>
      <c r="H537" s="4" t="str">
        <f aca="false">IF(E537&lt;DATE(2015,1,1),"2005–2014",IF(E537&lt;DATE(2022,3,5),"2015 – Mar 2022","Mar 2022 – Oct 2026"))</f>
        <v>Mar 2022 – Oct 2026</v>
      </c>
      <c r="I537" s="24" t="n">
        <v>210.918</v>
      </c>
      <c r="J537" s="24" t="n">
        <v>210.183</v>
      </c>
      <c r="K537" s="24" t="n">
        <v>213.574</v>
      </c>
      <c r="L537" s="25" t="n">
        <v>3.613</v>
      </c>
      <c r="M537" s="26" t="n">
        <v>73.534</v>
      </c>
      <c r="N537" s="4" t="s">
        <v>34</v>
      </c>
      <c r="O537" s="27" t="n">
        <v>-1.0102</v>
      </c>
      <c r="P537" s="28" t="n">
        <f aca="false">Summary!$C$6*O537</f>
        <v>-0.005051</v>
      </c>
      <c r="Q537" s="29" t="n">
        <f aca="false">Q536*(1+P537)</f>
        <v>16721.8974096427</v>
      </c>
      <c r="R537" s="29" t="n">
        <f aca="false">MAX(R536,Q537)</f>
        <v>16978.1899703433</v>
      </c>
      <c r="S537" s="30" t="n">
        <f aca="false">Q537/R537-1</f>
        <v>-0.0150953995183416</v>
      </c>
      <c r="T537" s="31" t="n">
        <f aca="false">DATE(YEAR(F537),MONTH(F537),1)</f>
        <v>46054</v>
      </c>
    </row>
    <row r="538" customFormat="false" ht="15" hidden="false" customHeight="true" outlineLevel="0" collapsed="false">
      <c r="A538" s="4" t="n">
        <v>537</v>
      </c>
      <c r="B538" s="4" t="s">
        <v>28</v>
      </c>
      <c r="C538" s="4" t="s">
        <v>54</v>
      </c>
      <c r="D538" s="23" t="n">
        <v>46085.9166666667</v>
      </c>
      <c r="E538" s="23" t="n">
        <v>46087.2708333333</v>
      </c>
      <c r="F538" s="23" t="n">
        <v>46087.90625</v>
      </c>
      <c r="G538" s="4" t="n">
        <f aca="false">YEAR(E538)</f>
        <v>2026</v>
      </c>
      <c r="H538" s="4" t="str">
        <f aca="false">IF(E538&lt;DATE(2015,1,1),"2005–2014",IF(E538&lt;DATE(2022,3,5),"2015 – Mar 2022","Mar 2022 – Oct 2026"))</f>
        <v>Mar 2022 – Oct 2026</v>
      </c>
      <c r="I538" s="24" t="n">
        <v>210.904</v>
      </c>
      <c r="J538" s="24" t="n">
        <v>211.62</v>
      </c>
      <c r="K538" s="24" t="n">
        <v>207.991</v>
      </c>
      <c r="L538" s="25" t="n">
        <v>4.069</v>
      </c>
      <c r="M538" s="26" t="n">
        <v>71.582</v>
      </c>
      <c r="N538" s="4" t="s">
        <v>34</v>
      </c>
      <c r="O538" s="27" t="n">
        <v>-1.0105</v>
      </c>
      <c r="P538" s="28" t="n">
        <f aca="false">Summary!$C$6*O538</f>
        <v>-0.0050525</v>
      </c>
      <c r="Q538" s="29" t="n">
        <f aca="false">Q537*(1+P538)</f>
        <v>16637.4100229805</v>
      </c>
      <c r="R538" s="29" t="n">
        <f aca="false">MAX(R537,Q538)</f>
        <v>16978.1899703433</v>
      </c>
      <c r="S538" s="30" t="n">
        <f aca="false">Q538/R538-1</f>
        <v>-0.0200716300122751</v>
      </c>
      <c r="T538" s="31" t="n">
        <f aca="false">DATE(YEAR(F538),MONTH(F538),1)</f>
        <v>46082</v>
      </c>
    </row>
    <row r="539" customFormat="false" ht="15" hidden="false" customHeight="true" outlineLevel="0" collapsed="false">
      <c r="A539" s="4" t="n">
        <v>538</v>
      </c>
      <c r="B539" s="4" t="s">
        <v>28</v>
      </c>
      <c r="C539" s="4" t="s">
        <v>53</v>
      </c>
      <c r="D539" s="23" t="n">
        <v>46087.9166666667</v>
      </c>
      <c r="E539" s="23" t="n">
        <v>46089.875</v>
      </c>
      <c r="F539" s="23" t="n">
        <v>46097.2604166667</v>
      </c>
      <c r="G539" s="4" t="n">
        <f aca="false">YEAR(E539)</f>
        <v>2026</v>
      </c>
      <c r="H539" s="4" t="str">
        <f aca="false">IF(E539&lt;DATE(2015,1,1),"2005–2014",IF(E539&lt;DATE(2022,3,5),"2015 – Mar 2022","Mar 2022 – Oct 2026"))</f>
        <v>Mar 2022 – Oct 2026</v>
      </c>
      <c r="I539" s="24" t="n">
        <v>210.913</v>
      </c>
      <c r="J539" s="24" t="n">
        <v>210.213</v>
      </c>
      <c r="K539" s="24" t="n">
        <v>213.579</v>
      </c>
      <c r="L539" s="25" t="n">
        <v>3.81</v>
      </c>
      <c r="M539" s="26" t="n">
        <v>69.963</v>
      </c>
      <c r="N539" s="4" t="s">
        <v>35</v>
      </c>
      <c r="O539" s="27" t="n">
        <v>0.0322</v>
      </c>
      <c r="P539" s="28" t="n">
        <f aca="false">Summary!$C$6*O539</f>
        <v>0.000161</v>
      </c>
      <c r="Q539" s="29" t="n">
        <f aca="false">Q538*(1+P539)</f>
        <v>16640.0886459942</v>
      </c>
      <c r="R539" s="29" t="n">
        <f aca="false">MAX(R538,Q539)</f>
        <v>16978.1899703433</v>
      </c>
      <c r="S539" s="30" t="n">
        <f aca="false">Q539/R539-1</f>
        <v>-0.0199138615447071</v>
      </c>
      <c r="T539" s="31" t="n">
        <f aca="false">DATE(YEAR(F539),MONTH(F539),1)</f>
        <v>46082</v>
      </c>
    </row>
    <row r="540" customFormat="false" ht="15" hidden="false" customHeight="true" outlineLevel="0" collapsed="false">
      <c r="A540" s="4" t="n">
        <v>539</v>
      </c>
      <c r="B540" s="4" t="s">
        <v>28</v>
      </c>
      <c r="C540" s="4" t="s">
        <v>53</v>
      </c>
      <c r="D540" s="23" t="n">
        <v>46101.9166666667</v>
      </c>
      <c r="E540" s="23" t="n">
        <v>46104.3958333333</v>
      </c>
      <c r="F540" s="23" t="n">
        <v>46104.46875</v>
      </c>
      <c r="G540" s="4" t="n">
        <f aca="false">YEAR(E540)</f>
        <v>2026</v>
      </c>
      <c r="H540" s="4" t="str">
        <f aca="false">IF(E540&lt;DATE(2015,1,1),"2005–2014",IF(E540&lt;DATE(2022,3,5),"2015 – Mar 2022","Mar 2022 – Oct 2026"))</f>
        <v>Mar 2022 – Oct 2026</v>
      </c>
      <c r="I540" s="24" t="n">
        <v>211.826</v>
      </c>
      <c r="J540" s="24" t="n">
        <v>211.241</v>
      </c>
      <c r="K540" s="24" t="n">
        <v>213.593</v>
      </c>
      <c r="L540" s="25" t="n">
        <v>3.016</v>
      </c>
      <c r="M540" s="26" t="n">
        <v>58.563</v>
      </c>
      <c r="N540" s="4" t="s">
        <v>35</v>
      </c>
      <c r="O540" s="27" t="n">
        <v>0.0384</v>
      </c>
      <c r="P540" s="28" t="n">
        <f aca="false">Summary!$C$6*O540</f>
        <v>0.000192</v>
      </c>
      <c r="Q540" s="29" t="n">
        <f aca="false">Q539*(1+P540)</f>
        <v>16643.2835430142</v>
      </c>
      <c r="R540" s="29" t="n">
        <f aca="false">MAX(R539,Q540)</f>
        <v>16978.1899703433</v>
      </c>
      <c r="S540" s="30" t="n">
        <f aca="false">Q540/R540-1</f>
        <v>-0.0197256850061236</v>
      </c>
      <c r="T540" s="31" t="n">
        <f aca="false">DATE(YEAR(F540),MONTH(F540),1)</f>
        <v>46082</v>
      </c>
    </row>
    <row r="541" customFormat="false" ht="15" hidden="false" customHeight="true" outlineLevel="0" collapsed="false">
      <c r="A541" s="4" t="n">
        <v>540</v>
      </c>
      <c r="B541" s="4" t="s">
        <v>28</v>
      </c>
      <c r="C541" s="4" t="s">
        <v>54</v>
      </c>
      <c r="D541" s="23" t="n">
        <v>46111.9166666667</v>
      </c>
      <c r="E541" s="23" t="n">
        <v>46112.0625</v>
      </c>
      <c r="F541" s="23" t="n">
        <v>46112.5</v>
      </c>
      <c r="G541" s="4" t="n">
        <f aca="false">YEAR(E541)</f>
        <v>2026</v>
      </c>
      <c r="H541" s="4" t="str">
        <f aca="false">IF(E541&lt;DATE(2015,1,1),"2005–2014",IF(E541&lt;DATE(2022,3,5),"2015 – Mar 2022","Mar 2022 – Oct 2026"))</f>
        <v>Mar 2022 – Oct 2026</v>
      </c>
      <c r="I541" s="24" t="n">
        <v>211.207</v>
      </c>
      <c r="J541" s="24" t="n">
        <v>211.759</v>
      </c>
      <c r="K541" s="24" t="n">
        <v>209.529</v>
      </c>
      <c r="L541" s="25" t="n">
        <v>3.039</v>
      </c>
      <c r="M541" s="26" t="n">
        <v>55.191</v>
      </c>
      <c r="N541" s="4" t="s">
        <v>35</v>
      </c>
      <c r="O541" s="27" t="n">
        <v>0.0408</v>
      </c>
      <c r="P541" s="28" t="n">
        <f aca="false">Summary!$C$6*O541</f>
        <v>0.000204</v>
      </c>
      <c r="Q541" s="29" t="n">
        <f aca="false">Q540*(1+P541)</f>
        <v>16646.678772857</v>
      </c>
      <c r="R541" s="29" t="n">
        <f aca="false">MAX(R540,Q541)</f>
        <v>16978.1899703433</v>
      </c>
      <c r="S541" s="30" t="n">
        <f aca="false">Q541/R541-1</f>
        <v>-0.0195257090458648</v>
      </c>
      <c r="T541" s="31" t="n">
        <f aca="false">DATE(YEAR(F541),MONTH(F541),1)</f>
        <v>46082</v>
      </c>
    </row>
    <row r="542" customFormat="false" ht="15" hidden="false" customHeight="true" outlineLevel="0" collapsed="false">
      <c r="A542" s="4" t="n">
        <v>541</v>
      </c>
      <c r="B542" s="4" t="s">
        <v>28</v>
      </c>
      <c r="C542" s="4" t="s">
        <v>53</v>
      </c>
      <c r="D542" s="23" t="n">
        <v>46113.9166666667</v>
      </c>
      <c r="E542" s="23" t="n">
        <v>46114.25</v>
      </c>
      <c r="F542" s="23" t="n">
        <v>46120.4583333333</v>
      </c>
      <c r="G542" s="4" t="n">
        <f aca="false">YEAR(E542)</f>
        <v>2026</v>
      </c>
      <c r="H542" s="4" t="str">
        <f aca="false">IF(E542&lt;DATE(2015,1,1),"2005–2014",IF(E542&lt;DATE(2022,3,5),"2015 – Mar 2022","Mar 2022 – Oct 2026"))</f>
        <v>Mar 2022 – Oct 2026</v>
      </c>
      <c r="I542" s="24" t="n">
        <v>210.641</v>
      </c>
      <c r="J542" s="24" t="n">
        <v>210.075</v>
      </c>
      <c r="K542" s="24" t="n">
        <v>212.985</v>
      </c>
      <c r="L542" s="25" t="n">
        <v>4.137</v>
      </c>
      <c r="M542" s="26" t="n">
        <v>56.65</v>
      </c>
      <c r="N542" s="4" t="s">
        <v>33</v>
      </c>
      <c r="O542" s="27" t="n">
        <v>4.1368</v>
      </c>
      <c r="P542" s="28" t="n">
        <f aca="false">Summary!$C$6*O542</f>
        <v>0.020684</v>
      </c>
      <c r="Q542" s="29" t="n">
        <f aca="false">Q541*(1+P542)</f>
        <v>16990.9986765947</v>
      </c>
      <c r="R542" s="29" t="n">
        <f aca="false">MAX(R541,Q542)</f>
        <v>16990.9986765947</v>
      </c>
      <c r="S542" s="30" t="n">
        <f aca="false">Q542/R542-1</f>
        <v>0</v>
      </c>
      <c r="T542" s="31" t="n">
        <f aca="false">DATE(YEAR(F542),MONTH(F542),1)</f>
        <v>46113</v>
      </c>
    </row>
    <row r="543" customFormat="false" ht="15" hidden="false" customHeight="true" outlineLevel="0" collapsed="false">
      <c r="A543" s="4" t="n">
        <v>542</v>
      </c>
      <c r="B543" s="4" t="s">
        <v>27</v>
      </c>
      <c r="C543" s="4" t="s">
        <v>54</v>
      </c>
      <c r="D543" s="23" t="n">
        <v>46143.9166666667</v>
      </c>
      <c r="E543" s="23" t="n">
        <v>46147.375</v>
      </c>
      <c r="F543" s="23" t="n">
        <v>46147.6458333333</v>
      </c>
      <c r="G543" s="4" t="n">
        <f aca="false">YEAR(E543)</f>
        <v>2026</v>
      </c>
      <c r="H543" s="4" t="str">
        <f aca="false">IF(E543&lt;DATE(2015,1,1),"2005–2014",IF(E543&lt;DATE(2022,3,5),"2015 – Mar 2022","Mar 2022 – Oct 2026"))</f>
        <v>Mar 2022 – Oct 2026</v>
      </c>
      <c r="I543" s="24" t="n">
        <v>213.418</v>
      </c>
      <c r="J543" s="24" t="n">
        <v>214.011</v>
      </c>
      <c r="K543" s="24" t="n">
        <v>211.486</v>
      </c>
      <c r="L543" s="25" t="n">
        <v>3.256</v>
      </c>
      <c r="M543" s="26" t="n">
        <v>59.329</v>
      </c>
      <c r="N543" s="4" t="s">
        <v>34</v>
      </c>
      <c r="O543" s="27" t="n">
        <v>-1.0126</v>
      </c>
      <c r="P543" s="28" t="n">
        <f aca="false">Summary!$C$6*O543</f>
        <v>-0.005063</v>
      </c>
      <c r="Q543" s="29" t="n">
        <f aca="false">Q542*(1+P543)</f>
        <v>16904.9732502951</v>
      </c>
      <c r="R543" s="29" t="n">
        <f aca="false">MAX(R542,Q543)</f>
        <v>16990.9986765947</v>
      </c>
      <c r="S543" s="30" t="n">
        <f aca="false">Q543/R543-1</f>
        <v>-0.00506299999999993</v>
      </c>
      <c r="T543" s="31" t="n">
        <f aca="false">DATE(YEAR(F543),MONTH(F543),1)</f>
        <v>46143</v>
      </c>
    </row>
    <row r="544" customFormat="false" ht="15" hidden="false" customHeight="true" outlineLevel="0" collapsed="false">
      <c r="A544" s="4" t="n">
        <v>543</v>
      </c>
      <c r="B544" s="4" t="s">
        <v>27</v>
      </c>
      <c r="C544" s="4" t="s">
        <v>54</v>
      </c>
      <c r="D544" s="23" t="n">
        <v>46153.9166666667</v>
      </c>
      <c r="E544" s="23" t="n">
        <v>46154.1770833333</v>
      </c>
      <c r="F544" s="23" t="n">
        <v>46156.75</v>
      </c>
      <c r="G544" s="4" t="n">
        <f aca="false">YEAR(E544)</f>
        <v>2026</v>
      </c>
      <c r="H544" s="4" t="str">
        <f aca="false">IF(E544&lt;DATE(2015,1,1),"2005–2014",IF(E544&lt;DATE(2022,3,5),"2015 – Mar 2022","Mar 2022 – Oct 2026"))</f>
        <v>Mar 2022 – Oct 2026</v>
      </c>
      <c r="I544" s="24" t="n">
        <v>214.06</v>
      </c>
      <c r="J544" s="24" t="n">
        <v>214.696</v>
      </c>
      <c r="K544" s="24" t="n">
        <v>212.104</v>
      </c>
      <c r="L544" s="25" t="n">
        <v>3.075</v>
      </c>
      <c r="M544" s="26" t="n">
        <v>63.63</v>
      </c>
      <c r="N544" s="4" t="s">
        <v>33</v>
      </c>
      <c r="O544" s="27" t="n">
        <v>3.0747</v>
      </c>
      <c r="P544" s="28" t="n">
        <f aca="false">Summary!$C$6*O544</f>
        <v>0.0153735</v>
      </c>
      <c r="Q544" s="29" t="n">
        <f aca="false">Q543*(1+P544)</f>
        <v>17164.8618565585</v>
      </c>
      <c r="R544" s="29" t="n">
        <f aca="false">MAX(R543,Q544)</f>
        <v>17164.8618565585</v>
      </c>
      <c r="S544" s="30" t="n">
        <f aca="false">Q544/R544-1</f>
        <v>0</v>
      </c>
      <c r="T544" s="31" t="n">
        <f aca="false">DATE(YEAR(F544),MONTH(F544),1)</f>
        <v>46143</v>
      </c>
    </row>
    <row r="545" customFormat="false" ht="15" hidden="false" customHeight="true" outlineLevel="0" collapsed="false">
      <c r="A545" s="4" t="n">
        <v>544</v>
      </c>
      <c r="B545" s="4" t="s">
        <v>27</v>
      </c>
      <c r="C545" s="4" t="s">
        <v>54</v>
      </c>
      <c r="D545" s="23" t="n">
        <v>46164.9166666667</v>
      </c>
      <c r="E545" s="23" t="n">
        <v>46167.1354166667</v>
      </c>
      <c r="F545" s="23" t="n">
        <v>46167.8125</v>
      </c>
      <c r="G545" s="4" t="n">
        <f aca="false">YEAR(E545)</f>
        <v>2026</v>
      </c>
      <c r="H545" s="4" t="str">
        <f aca="false">IF(E545&lt;DATE(2015,1,1),"2005–2014",IF(E545&lt;DATE(2022,3,5),"2015 – Mar 2022","Mar 2022 – Oct 2026"))</f>
        <v>Mar 2022 – Oct 2026</v>
      </c>
      <c r="I545" s="24" t="n">
        <v>214.107</v>
      </c>
      <c r="J545" s="24" t="n">
        <v>214.651</v>
      </c>
      <c r="K545" s="24" t="n">
        <v>212.428</v>
      </c>
      <c r="L545" s="25" t="n">
        <v>3.088</v>
      </c>
      <c r="M545" s="26" t="n">
        <v>54.369</v>
      </c>
      <c r="N545" s="4" t="s">
        <v>34</v>
      </c>
      <c r="O545" s="27" t="n">
        <v>-1.0138</v>
      </c>
      <c r="P545" s="28" t="n">
        <f aca="false">Summary!$C$6*O545</f>
        <v>-0.005069</v>
      </c>
      <c r="Q545" s="29" t="n">
        <f aca="false">Q544*(1+P545)</f>
        <v>17077.8531718077</v>
      </c>
      <c r="R545" s="29" t="n">
        <f aca="false">MAX(R544,Q545)</f>
        <v>17164.8618565585</v>
      </c>
      <c r="S545" s="30" t="n">
        <f aca="false">Q545/R545-1</f>
        <v>-0.00506899999999988</v>
      </c>
      <c r="T545" s="31" t="n">
        <f aca="false">DATE(YEAR(F545),MONTH(F545),1)</f>
        <v>46143</v>
      </c>
    </row>
    <row r="546" customFormat="false" ht="15" hidden="false" customHeight="true" outlineLevel="0" collapsed="false">
      <c r="A546" s="4" t="n">
        <v>545</v>
      </c>
      <c r="B546" s="4" t="s">
        <v>28</v>
      </c>
      <c r="C546" s="4" t="s">
        <v>53</v>
      </c>
      <c r="D546" s="23" t="n">
        <v>46167.9166666667</v>
      </c>
      <c r="E546" s="23" t="n">
        <v>46170.0729166667</v>
      </c>
      <c r="F546" s="23" t="n">
        <v>46170.15625</v>
      </c>
      <c r="G546" s="4" t="n">
        <f aca="false">YEAR(E546)</f>
        <v>2026</v>
      </c>
      <c r="H546" s="4" t="str">
        <f aca="false">IF(E546&lt;DATE(2015,1,1),"2005–2014",IF(E546&lt;DATE(2022,3,5),"2015 – Mar 2022","Mar 2022 – Oct 2026"))</f>
        <v>Mar 2022 – Oct 2026</v>
      </c>
      <c r="I546" s="24" t="n">
        <v>213.927</v>
      </c>
      <c r="J546" s="24" t="n">
        <v>213.396</v>
      </c>
      <c r="K546" s="24" t="n">
        <v>215.534</v>
      </c>
      <c r="L546" s="25" t="n">
        <v>3.03</v>
      </c>
      <c r="M546" s="26" t="n">
        <v>53.045</v>
      </c>
      <c r="N546" s="4" t="s">
        <v>34</v>
      </c>
      <c r="O546" s="27" t="n">
        <v>-1.0141</v>
      </c>
      <c r="P546" s="28" t="n">
        <f aca="false">Summary!$C$6*O546</f>
        <v>-0.0050705</v>
      </c>
      <c r="Q546" s="29" t="n">
        <f aca="false">Q545*(1+P546)</f>
        <v>16991.2599173</v>
      </c>
      <c r="R546" s="29" t="n">
        <f aca="false">MAX(R545,Q546)</f>
        <v>17164.8618565585</v>
      </c>
      <c r="S546" s="30" t="n">
        <f aca="false">Q546/R546-1</f>
        <v>-0.0101137976354999</v>
      </c>
      <c r="T546" s="31" t="n">
        <f aca="false">DATE(YEAR(F546),MONTH(F546),1)</f>
        <v>46143</v>
      </c>
    </row>
    <row r="547" customFormat="false" ht="15" hidden="false" customHeight="true" outlineLevel="0" collapsed="false">
      <c r="A547" s="4" t="n">
        <v>546</v>
      </c>
      <c r="B547" s="4" t="s">
        <v>27</v>
      </c>
      <c r="C547" s="4" t="s">
        <v>53</v>
      </c>
      <c r="D547" s="23" t="n">
        <v>46171.9166666667</v>
      </c>
      <c r="E547" s="23" t="n">
        <v>46174.0104166667</v>
      </c>
      <c r="F547" s="23" t="n">
        <v>46176.3541666667</v>
      </c>
      <c r="G547" s="4" t="n">
        <f aca="false">YEAR(E547)</f>
        <v>2026</v>
      </c>
      <c r="H547" s="4" t="str">
        <f aca="false">IF(E547&lt;DATE(2015,1,1),"2005–2014",IF(E547&lt;DATE(2022,3,5),"2015 – Mar 2022","Mar 2022 – Oct 2026"))</f>
        <v>Mar 2022 – Oct 2026</v>
      </c>
      <c r="I547" s="24" t="n">
        <v>214.404</v>
      </c>
      <c r="J547" s="24" t="n">
        <v>213.929</v>
      </c>
      <c r="K547" s="24" t="n">
        <v>216.12</v>
      </c>
      <c r="L547" s="25" t="n">
        <v>3.612</v>
      </c>
      <c r="M547" s="26" t="n">
        <v>47.511</v>
      </c>
      <c r="N547" s="4" t="s">
        <v>35</v>
      </c>
      <c r="O547" s="27" t="n">
        <v>0.0474</v>
      </c>
      <c r="P547" s="28" t="n">
        <f aca="false">Summary!$C$6*O547</f>
        <v>0.000237</v>
      </c>
      <c r="Q547" s="29" t="n">
        <f aca="false">Q546*(1+P547)</f>
        <v>16995.2868459004</v>
      </c>
      <c r="R547" s="29" t="n">
        <f aca="false">MAX(R546,Q547)</f>
        <v>17164.8618565585</v>
      </c>
      <c r="S547" s="30" t="n">
        <f aca="false">Q547/R547-1</f>
        <v>-0.00987919460553943</v>
      </c>
      <c r="T547" s="31" t="n">
        <f aca="false">DATE(YEAR(F547),MONTH(F547),1)</f>
        <v>46174</v>
      </c>
    </row>
    <row r="548" customFormat="false" ht="15" hidden="false" customHeight="true" outlineLevel="0" collapsed="false">
      <c r="A548" s="4" t="n">
        <v>547</v>
      </c>
      <c r="B548" s="4" t="s">
        <v>28</v>
      </c>
      <c r="C548" s="4" t="s">
        <v>54</v>
      </c>
      <c r="D548" s="23" t="n">
        <v>46178.9166666667</v>
      </c>
      <c r="E548" s="23" t="n">
        <v>46182.3333333333</v>
      </c>
      <c r="F548" s="23" t="n">
        <v>46182.4895833333</v>
      </c>
      <c r="G548" s="4" t="n">
        <f aca="false">YEAR(E548)</f>
        <v>2026</v>
      </c>
      <c r="H548" s="4" t="str">
        <f aca="false">IF(E548&lt;DATE(2015,1,1),"2005–2014",IF(E548&lt;DATE(2022,3,5),"2015 – Mar 2022","Mar 2022 – Oct 2026"))</f>
        <v>Mar 2022 – Oct 2026</v>
      </c>
      <c r="I548" s="24" t="n">
        <v>214.221</v>
      </c>
      <c r="J548" s="24" t="n">
        <v>214.691</v>
      </c>
      <c r="K548" s="24" t="n">
        <v>212.419</v>
      </c>
      <c r="L548" s="25" t="n">
        <v>3.83</v>
      </c>
      <c r="M548" s="26" t="n">
        <v>47.044</v>
      </c>
      <c r="N548" s="4" t="s">
        <v>34</v>
      </c>
      <c r="O548" s="27" t="n">
        <v>-1.0159</v>
      </c>
      <c r="P548" s="28" t="n">
        <f aca="false">Summary!$C$6*O548</f>
        <v>-0.0050795</v>
      </c>
      <c r="Q548" s="29" t="n">
        <f aca="false">Q547*(1+P548)</f>
        <v>16908.9592863666</v>
      </c>
      <c r="R548" s="29" t="n">
        <f aca="false">MAX(R547,Q548)</f>
        <v>17164.8618565585</v>
      </c>
      <c r="S548" s="30" t="n">
        <f aca="false">Q548/R548-1</f>
        <v>-0.0149085132365406</v>
      </c>
      <c r="T548" s="31" t="n">
        <f aca="false">DATE(YEAR(F548),MONTH(F548),1)</f>
        <v>46174</v>
      </c>
    </row>
    <row r="549" customFormat="false" ht="15" hidden="false" customHeight="true" outlineLevel="0" collapsed="false">
      <c r="A549" s="4" t="n">
        <v>548</v>
      </c>
      <c r="B549" s="4" t="s">
        <v>28</v>
      </c>
      <c r="C549" s="4" t="s">
        <v>53</v>
      </c>
      <c r="D549" s="23" t="n">
        <v>46183.9166666667</v>
      </c>
      <c r="E549" s="23" t="n">
        <v>46184.6041666667</v>
      </c>
      <c r="F549" s="23" t="n">
        <v>46189.65625</v>
      </c>
      <c r="G549" s="4" t="n">
        <f aca="false">YEAR(E549)</f>
        <v>2026</v>
      </c>
      <c r="H549" s="4" t="str">
        <f aca="false">IF(E549&lt;DATE(2015,1,1),"2005–2014",IF(E549&lt;DATE(2022,3,5),"2015 – Mar 2022","Mar 2022 – Oct 2026"))</f>
        <v>Mar 2022 – Oct 2026</v>
      </c>
      <c r="I549" s="24" t="n">
        <v>214.066</v>
      </c>
      <c r="J549" s="24" t="n">
        <v>213.6</v>
      </c>
      <c r="K549" s="24" t="n">
        <v>215.542</v>
      </c>
      <c r="L549" s="25" t="n">
        <v>3.174</v>
      </c>
      <c r="M549" s="26" t="n">
        <v>46.524</v>
      </c>
      <c r="N549" s="4" t="s">
        <v>33</v>
      </c>
      <c r="O549" s="27" t="n">
        <v>3.1741</v>
      </c>
      <c r="P549" s="28" t="n">
        <f aca="false">Summary!$C$6*O549</f>
        <v>0.0158705</v>
      </c>
      <c r="Q549" s="29" t="n">
        <f aca="false">Q548*(1+P549)</f>
        <v>17177.3129247209</v>
      </c>
      <c r="R549" s="29" t="n">
        <f aca="false">MAX(R548,Q549)</f>
        <v>17177.3129247209</v>
      </c>
      <c r="S549" s="30" t="n">
        <f aca="false">Q549/R549-1</f>
        <v>0</v>
      </c>
      <c r="T549" s="31" t="n">
        <f aca="false">DATE(YEAR(F549),MONTH(F549),1)</f>
        <v>46174</v>
      </c>
    </row>
    <row r="550" customFormat="false" ht="15" hidden="false" customHeight="true" outlineLevel="0" collapsed="false">
      <c r="A550" s="4" t="n">
        <v>549</v>
      </c>
      <c r="B550" s="4" t="s">
        <v>28</v>
      </c>
      <c r="C550" s="4" t="s">
        <v>54</v>
      </c>
      <c r="D550" s="23" t="n">
        <v>46190.9166666667</v>
      </c>
      <c r="E550" s="23" t="n">
        <v>46191.0520833333</v>
      </c>
      <c r="F550" s="23" t="n">
        <v>46191.8125</v>
      </c>
      <c r="G550" s="4" t="n">
        <f aca="false">YEAR(E550)</f>
        <v>2026</v>
      </c>
      <c r="H550" s="4" t="str">
        <f aca="false">IF(E550&lt;DATE(2015,1,1),"2005–2014",IF(E550&lt;DATE(2022,3,5),"2015 – Mar 2022","Mar 2022 – Oct 2026"))</f>
        <v>Mar 2022 – Oct 2026</v>
      </c>
      <c r="I550" s="24" t="n">
        <v>213.912</v>
      </c>
      <c r="J550" s="24" t="n">
        <v>214.382</v>
      </c>
      <c r="K550" s="24" t="n">
        <v>212.419</v>
      </c>
      <c r="L550" s="25" t="n">
        <v>3.18</v>
      </c>
      <c r="M550" s="26" t="n">
        <v>46.951</v>
      </c>
      <c r="N550" s="4" t="s">
        <v>33</v>
      </c>
      <c r="O550" s="27" t="n">
        <v>3.1804</v>
      </c>
      <c r="P550" s="28" t="n">
        <f aca="false">Summary!$C$6*O550</f>
        <v>0.015902</v>
      </c>
      <c r="Q550" s="29" t="n">
        <f aca="false">Q549*(1+P550)</f>
        <v>17450.4665548498</v>
      </c>
      <c r="R550" s="29" t="n">
        <f aca="false">MAX(R549,Q550)</f>
        <v>17450.4665548498</v>
      </c>
      <c r="S550" s="30" t="n">
        <f aca="false">Q550/R550-1</f>
        <v>0</v>
      </c>
      <c r="T550" s="31" t="n">
        <f aca="false">DATE(YEAR(F550),MONTH(F550),1)</f>
        <v>46174</v>
      </c>
    </row>
    <row r="551" customFormat="false" ht="15" hidden="false" customHeight="true" outlineLevel="0" collapsed="false">
      <c r="A551" s="4" t="n">
        <v>550</v>
      </c>
      <c r="B551" s="4" t="s">
        <v>27</v>
      </c>
      <c r="C551" s="4" t="s">
        <v>54</v>
      </c>
      <c r="D551" s="23" t="n">
        <v>46195.9166666667</v>
      </c>
      <c r="E551" s="23" t="n">
        <v>46196.0208333333</v>
      </c>
      <c r="F551" s="23" t="n">
        <v>46202.28125</v>
      </c>
      <c r="G551" s="4" t="n">
        <f aca="false">YEAR(E551)</f>
        <v>2026</v>
      </c>
      <c r="H551" s="4" t="str">
        <f aca="false">IF(E551&lt;DATE(2015,1,1),"2005–2014",IF(E551&lt;DATE(2022,3,5),"2015 – Mar 2022","Mar 2022 – Oct 2026"))</f>
        <v>Mar 2022 – Oct 2026</v>
      </c>
      <c r="I551" s="24" t="n">
        <v>214.002</v>
      </c>
      <c r="J551" s="24" t="n">
        <v>214.503</v>
      </c>
      <c r="K551" s="24" t="n">
        <v>212.423</v>
      </c>
      <c r="L551" s="25" t="n">
        <v>3.154</v>
      </c>
      <c r="M551" s="26" t="n">
        <v>50.058</v>
      </c>
      <c r="N551" s="4" t="s">
        <v>35</v>
      </c>
      <c r="O551" s="27" t="n">
        <v>0.0449</v>
      </c>
      <c r="P551" s="28" t="n">
        <f aca="false">Summary!$C$6*O551</f>
        <v>0.0002245</v>
      </c>
      <c r="Q551" s="29" t="n">
        <f aca="false">Q550*(1+P551)</f>
        <v>17454.3841845914</v>
      </c>
      <c r="R551" s="29" t="n">
        <f aca="false">MAX(R550,Q551)</f>
        <v>17454.3841845914</v>
      </c>
      <c r="S551" s="30" t="n">
        <f aca="false">Q551/R551-1</f>
        <v>0</v>
      </c>
      <c r="T551" s="31" t="n">
        <f aca="false">DATE(YEAR(F551),MONTH(F551),1)</f>
        <v>46174</v>
      </c>
    </row>
    <row r="552" customFormat="false" ht="15" hidden="false" customHeight="true" outlineLevel="0" collapsed="false">
      <c r="A552" s="4" t="n">
        <v>551</v>
      </c>
      <c r="B552" s="4" t="s">
        <v>27</v>
      </c>
      <c r="C552" s="4" t="s">
        <v>53</v>
      </c>
      <c r="D552" s="23" t="n">
        <v>46237.9166666667</v>
      </c>
      <c r="E552" s="23" t="n">
        <v>46238.1458333333</v>
      </c>
      <c r="F552" s="23" t="n">
        <v>46241.5208333333</v>
      </c>
      <c r="G552" s="4" t="n">
        <f aca="false">YEAR(E552)</f>
        <v>2026</v>
      </c>
      <c r="H552" s="4" t="str">
        <f aca="false">IF(E552&lt;DATE(2015,1,1),"2005–2014",IF(E552&lt;DATE(2022,3,5),"2015 – Mar 2022","Mar 2022 – Oct 2026"))</f>
        <v>Mar 2022 – Oct 2026</v>
      </c>
      <c r="I552" s="24" t="n">
        <v>211.546</v>
      </c>
      <c r="J552" s="24" t="n">
        <v>210.834</v>
      </c>
      <c r="K552" s="24" t="n">
        <v>213.759</v>
      </c>
      <c r="L552" s="25" t="n">
        <v>3.11</v>
      </c>
      <c r="M552" s="26" t="n">
        <v>71.16</v>
      </c>
      <c r="N552" s="4" t="s">
        <v>35</v>
      </c>
      <c r="O552" s="27" t="n">
        <v>0.0316</v>
      </c>
      <c r="P552" s="28" t="n">
        <f aca="false">Summary!$C$6*O552</f>
        <v>0.000158</v>
      </c>
      <c r="Q552" s="29" t="n">
        <f aca="false">Q551*(1+P552)</f>
        <v>17457.1419772926</v>
      </c>
      <c r="R552" s="29" t="n">
        <f aca="false">MAX(R551,Q552)</f>
        <v>17457.1419772926</v>
      </c>
      <c r="S552" s="30" t="n">
        <f aca="false">Q552/R552-1</f>
        <v>0</v>
      </c>
      <c r="T552" s="31" t="n">
        <f aca="false">DATE(YEAR(F552),MONTH(F552),1)</f>
        <v>46235</v>
      </c>
    </row>
    <row r="553" customFormat="false" ht="15" hidden="false" customHeight="true" outlineLevel="0" collapsed="false">
      <c r="A553" s="4" t="n">
        <v>552</v>
      </c>
      <c r="B553" s="4" t="s">
        <v>28</v>
      </c>
      <c r="C553" s="4" t="s">
        <v>54</v>
      </c>
      <c r="D553" s="23" t="n">
        <v>46241.9166666667</v>
      </c>
      <c r="E553" s="23" t="n">
        <v>46244.25</v>
      </c>
      <c r="F553" s="23" t="n">
        <v>46244.375</v>
      </c>
      <c r="G553" s="4" t="n">
        <f aca="false">YEAR(E553)</f>
        <v>2026</v>
      </c>
      <c r="H553" s="4" t="str">
        <f aca="false">IF(E553&lt;DATE(2015,1,1),"2005–2014",IF(E553&lt;DATE(2022,3,5),"2015 – Mar 2022","Mar 2022 – Oct 2026"))</f>
        <v>Mar 2022 – Oct 2026</v>
      </c>
      <c r="I553" s="24" t="n">
        <v>213.67</v>
      </c>
      <c r="J553" s="24" t="n">
        <v>214.332</v>
      </c>
      <c r="K553" s="24" t="n">
        <v>211.495</v>
      </c>
      <c r="L553" s="25" t="n">
        <v>3.289</v>
      </c>
      <c r="M553" s="26" t="n">
        <v>66.142</v>
      </c>
      <c r="N553" s="4" t="s">
        <v>34</v>
      </c>
      <c r="O553" s="27" t="n">
        <v>-1.0113</v>
      </c>
      <c r="P553" s="28" t="n">
        <f aca="false">Summary!$C$6*O553</f>
        <v>-0.0050565</v>
      </c>
      <c r="Q553" s="29" t="n">
        <f aca="false">Q552*(1+P553)</f>
        <v>17368.8699388844</v>
      </c>
      <c r="R553" s="29" t="n">
        <f aca="false">MAX(R552,Q553)</f>
        <v>17457.1419772926</v>
      </c>
      <c r="S553" s="30" t="n">
        <f aca="false">Q553/R553-1</f>
        <v>-0.00505650000000002</v>
      </c>
      <c r="T553" s="31" t="n">
        <f aca="false">DATE(YEAR(F553),MONTH(F553),1)</f>
        <v>46235</v>
      </c>
    </row>
    <row r="554" customFormat="false" ht="15" hidden="false" customHeight="true" outlineLevel="0" collapsed="false">
      <c r="A554" s="4" t="n">
        <v>553</v>
      </c>
      <c r="B554" s="4" t="s">
        <v>28</v>
      </c>
      <c r="C554" s="4" t="s">
        <v>53</v>
      </c>
      <c r="D554" s="23" t="n">
        <v>46251.9166666667</v>
      </c>
      <c r="E554" s="23" t="n">
        <v>46253.5208333333</v>
      </c>
      <c r="F554" s="23" t="n">
        <v>46253.5208333333</v>
      </c>
      <c r="G554" s="4" t="n">
        <f aca="false">YEAR(E554)</f>
        <v>2026</v>
      </c>
      <c r="H554" s="4" t="str">
        <f aca="false">IF(E554&lt;DATE(2015,1,1),"2005–2014",IF(E554&lt;DATE(2022,3,5),"2015 – Mar 2022","Mar 2022 – Oct 2026"))</f>
        <v>Mar 2022 – Oct 2026</v>
      </c>
      <c r="I554" s="24" t="n">
        <v>215.391</v>
      </c>
      <c r="J554" s="24" t="n">
        <v>214.826</v>
      </c>
      <c r="K554" s="24" t="n">
        <v>217.659</v>
      </c>
      <c r="L554" s="25" t="n">
        <v>4.01</v>
      </c>
      <c r="M554" s="26" t="n">
        <v>56.555</v>
      </c>
      <c r="N554" s="4" t="s">
        <v>34</v>
      </c>
      <c r="O554" s="27" t="n">
        <v>-1.0133</v>
      </c>
      <c r="P554" s="28" t="n">
        <f aca="false">Summary!$C$6*O554</f>
        <v>-0.0050665</v>
      </c>
      <c r="Q554" s="29" t="n">
        <f aca="false">Q553*(1+P554)</f>
        <v>17280.870559339</v>
      </c>
      <c r="R554" s="29" t="n">
        <f aca="false">MAX(R553,Q554)</f>
        <v>17457.1419772926</v>
      </c>
      <c r="S554" s="30" t="n">
        <f aca="false">Q554/R554-1</f>
        <v>-0.0100973812427499</v>
      </c>
      <c r="T554" s="31" t="n">
        <f aca="false">DATE(YEAR(F554),MONTH(F554),1)</f>
        <v>46235</v>
      </c>
    </row>
    <row r="555" customFormat="false" ht="15" hidden="false" customHeight="true" outlineLevel="0" collapsed="false">
      <c r="A555" s="4" t="n">
        <v>554</v>
      </c>
      <c r="B555" s="4" t="s">
        <v>27</v>
      </c>
      <c r="C555" s="4" t="s">
        <v>53</v>
      </c>
      <c r="D555" s="23" t="n">
        <v>46274.9166666667</v>
      </c>
      <c r="E555" s="23" t="n">
        <v>46275.03125</v>
      </c>
      <c r="F555" s="23" t="n">
        <v>46276.2395833333</v>
      </c>
      <c r="G555" s="4" t="n">
        <f aca="false">YEAR(E555)</f>
        <v>2026</v>
      </c>
      <c r="H555" s="4" t="str">
        <f aca="false">IF(E555&lt;DATE(2015,1,1),"2005–2014",IF(E555&lt;DATE(2022,3,5),"2015 – Mar 2022","Mar 2022 – Oct 2026"))</f>
        <v>Mar 2022 – Oct 2026</v>
      </c>
      <c r="I555" s="24" t="n">
        <v>208.132</v>
      </c>
      <c r="J555" s="24" t="n">
        <v>207.51</v>
      </c>
      <c r="K555" s="24" t="n">
        <v>210.534</v>
      </c>
      <c r="L555" s="25" t="n">
        <v>3.861</v>
      </c>
      <c r="M555" s="26" t="n">
        <v>62.212</v>
      </c>
      <c r="N555" s="4" t="s">
        <v>35</v>
      </c>
      <c r="O555" s="27" t="n">
        <v>0.0362</v>
      </c>
      <c r="P555" s="28" t="n">
        <f aca="false">Summary!$C$6*O555</f>
        <v>0.000181</v>
      </c>
      <c r="Q555" s="29" t="n">
        <f aca="false">Q554*(1+P555)</f>
        <v>17283.9983969103</v>
      </c>
      <c r="R555" s="29" t="n">
        <f aca="false">MAX(R554,Q555)</f>
        <v>17457.1419772926</v>
      </c>
      <c r="S555" s="30" t="n">
        <f aca="false">Q555/R555-1</f>
        <v>-0.00991820886875494</v>
      </c>
      <c r="T555" s="31" t="n">
        <f aca="false">DATE(YEAR(F555),MONTH(F555),1)</f>
        <v>46266</v>
      </c>
    </row>
    <row r="556" customFormat="false" ht="15" hidden="false" customHeight="true" outlineLevel="0" collapsed="false">
      <c r="A556" s="4" t="n">
        <v>555</v>
      </c>
      <c r="B556" s="4" t="s">
        <v>27</v>
      </c>
      <c r="C556" s="4" t="s">
        <v>54</v>
      </c>
      <c r="D556" s="23" t="n">
        <v>46286.9166666667</v>
      </c>
      <c r="E556" s="23" t="n">
        <v>46287.25</v>
      </c>
      <c r="F556" s="23" t="n">
        <v>46289.03125</v>
      </c>
      <c r="G556" s="4" t="n">
        <f aca="false">YEAR(E556)</f>
        <v>2026</v>
      </c>
      <c r="H556" s="4" t="str">
        <f aca="false">IF(E556&lt;DATE(2015,1,1),"2005–2014",IF(E556&lt;DATE(2022,3,5),"2015 – Mar 2022","Mar 2022 – Oct 2026"))</f>
        <v>Mar 2022 – Oct 2026</v>
      </c>
      <c r="I556" s="24" t="n">
        <v>210.731</v>
      </c>
      <c r="J556" s="24" t="n">
        <v>211.345</v>
      </c>
      <c r="K556" s="24" t="n">
        <v>208.858</v>
      </c>
      <c r="L556" s="25" t="n">
        <v>3.051</v>
      </c>
      <c r="M556" s="26" t="n">
        <v>61.392</v>
      </c>
      <c r="N556" s="4" t="s">
        <v>33</v>
      </c>
      <c r="O556" s="27" t="n">
        <v>3.0511</v>
      </c>
      <c r="P556" s="28" t="n">
        <f aca="false">Summary!$C$6*O556</f>
        <v>0.0152555</v>
      </c>
      <c r="Q556" s="29" t="n">
        <f aca="false">Q555*(1+P556)</f>
        <v>17547.6744344543</v>
      </c>
      <c r="R556" s="29" t="n">
        <f aca="false">MAX(R555,Q556)</f>
        <v>17547.6744344543</v>
      </c>
      <c r="S556" s="30" t="n">
        <f aca="false">Q556/R556-1</f>
        <v>0</v>
      </c>
      <c r="T556" s="31" t="n">
        <f aca="false">DATE(YEAR(F556),MONTH(F556),1)</f>
        <v>46266</v>
      </c>
    </row>
  </sheetData>
  <autoFilter ref="A1:T5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6" min="3" style="1" width="13"/>
    <col collapsed="false" customWidth="true" hidden="false" outlineLevel="0" max="7" min="7" style="1" width="36"/>
  </cols>
  <sheetData>
    <row r="2" customFormat="false" ht="17.25" hidden="false" customHeight="true" outlineLevel="0" collapsed="false">
      <c r="B2" s="2" t="s">
        <v>55</v>
      </c>
    </row>
    <row r="3" customFormat="false" ht="15" hidden="false" customHeight="true" outlineLevel="0" collapsed="false">
      <c r="B3" s="3" t="s">
        <v>56</v>
      </c>
    </row>
    <row r="5" customFormat="false" ht="23.25" hidden="false" customHeight="true" outlineLevel="0" collapsed="false">
      <c r="B5" s="32" t="s">
        <v>57</v>
      </c>
      <c r="C5" s="32" t="s">
        <v>58</v>
      </c>
      <c r="D5" s="32" t="s">
        <v>59</v>
      </c>
      <c r="E5" s="32" t="s">
        <v>60</v>
      </c>
      <c r="F5" s="32" t="s">
        <v>61</v>
      </c>
      <c r="G5" s="32" t="s">
        <v>62</v>
      </c>
    </row>
    <row r="6" customFormat="false" ht="15" hidden="false" customHeight="true" outlineLevel="0" collapsed="false">
      <c r="B6" s="33" t="s">
        <v>63</v>
      </c>
      <c r="C6" s="34" t="n">
        <v>281</v>
      </c>
      <c r="D6" s="35" t="n">
        <v>0.11</v>
      </c>
      <c r="E6" s="34" t="n">
        <v>274</v>
      </c>
      <c r="F6" s="35" t="n">
        <v>0.314</v>
      </c>
      <c r="G6" s="33" t="s">
        <v>64</v>
      </c>
    </row>
    <row r="7" customFormat="false" ht="15" hidden="false" customHeight="true" outlineLevel="0" collapsed="false">
      <c r="B7" s="36" t="s">
        <v>65</v>
      </c>
      <c r="C7" s="37" t="n">
        <v>242</v>
      </c>
      <c r="D7" s="38" t="n">
        <v>0.313</v>
      </c>
      <c r="E7" s="37" t="n">
        <v>271</v>
      </c>
      <c r="F7" s="38" t="n">
        <v>0.116</v>
      </c>
      <c r="G7" s="36" t="s">
        <v>66</v>
      </c>
    </row>
    <row r="8" customFormat="false" ht="15" hidden="false" customHeight="true" outlineLevel="0" collapsed="false">
      <c r="B8" s="36" t="s">
        <v>67</v>
      </c>
      <c r="C8" s="37" t="n">
        <v>230</v>
      </c>
      <c r="D8" s="38" t="n">
        <v>0.386</v>
      </c>
      <c r="E8" s="37" t="n">
        <v>258</v>
      </c>
      <c r="F8" s="38" t="n">
        <v>0.062</v>
      </c>
      <c r="G8" s="36" t="s">
        <v>68</v>
      </c>
    </row>
    <row r="9" customFormat="false" ht="15" hidden="false" customHeight="true" outlineLevel="0" collapsed="false">
      <c r="B9" s="36" t="s">
        <v>69</v>
      </c>
      <c r="C9" s="37" t="n">
        <v>219</v>
      </c>
      <c r="D9" s="38" t="n">
        <v>0.453</v>
      </c>
      <c r="E9" s="37" t="n">
        <v>252</v>
      </c>
      <c r="F9" s="38" t="n">
        <v>0.052</v>
      </c>
      <c r="G9" s="36" t="s">
        <v>70</v>
      </c>
    </row>
    <row r="10" customFormat="false" ht="15" hidden="false" customHeight="true" outlineLevel="0" collapsed="false">
      <c r="B10" s="36" t="s">
        <v>71</v>
      </c>
      <c r="C10" s="37" t="n">
        <v>250</v>
      </c>
      <c r="D10" s="38" t="n">
        <v>0.228</v>
      </c>
      <c r="E10" s="37" t="n">
        <v>282</v>
      </c>
      <c r="F10" s="38" t="n">
        <v>0.045</v>
      </c>
      <c r="G10" s="36" t="s">
        <v>68</v>
      </c>
    </row>
    <row r="11" customFormat="false" ht="15" hidden="false" customHeight="true" outlineLevel="0" collapsed="false">
      <c r="B11" s="36" t="s">
        <v>72</v>
      </c>
      <c r="C11" s="37" t="n">
        <v>194</v>
      </c>
      <c r="D11" s="38" t="n">
        <v>0.204</v>
      </c>
      <c r="E11" s="37" t="n">
        <v>219</v>
      </c>
      <c r="F11" s="38" t="n">
        <v>0.096</v>
      </c>
      <c r="G11" s="36" t="s">
        <v>68</v>
      </c>
    </row>
    <row r="12" customFormat="false" ht="15" hidden="false" customHeight="true" outlineLevel="0" collapsed="false">
      <c r="B12" s="36" t="s">
        <v>73</v>
      </c>
      <c r="C12" s="37" t="n">
        <v>116</v>
      </c>
      <c r="D12" s="38" t="n">
        <v>0.62</v>
      </c>
      <c r="E12" s="37" t="n">
        <v>146</v>
      </c>
      <c r="F12" s="38" t="n">
        <v>-0.012</v>
      </c>
      <c r="G12" s="36" t="s">
        <v>74</v>
      </c>
    </row>
    <row r="13" customFormat="false" ht="15" hidden="false" customHeight="true" outlineLevel="0" collapsed="false">
      <c r="B13" s="36" t="s">
        <v>75</v>
      </c>
      <c r="C13" s="37" t="n">
        <v>178</v>
      </c>
      <c r="D13" s="38" t="n">
        <v>0.464</v>
      </c>
      <c r="E13" s="37" t="n">
        <v>213</v>
      </c>
      <c r="F13" s="38" t="n">
        <v>0.094</v>
      </c>
      <c r="G13" s="36" t="s">
        <v>68</v>
      </c>
    </row>
    <row r="14" customFormat="false" ht="15" hidden="false" customHeight="true" outlineLevel="0" collapsed="false">
      <c r="B14" s="36" t="s">
        <v>76</v>
      </c>
      <c r="C14" s="37" t="n">
        <v>122</v>
      </c>
      <c r="D14" s="38" t="n">
        <v>0.47</v>
      </c>
      <c r="E14" s="37" t="n">
        <v>141</v>
      </c>
      <c r="F14" s="38" t="n">
        <v>0.151</v>
      </c>
      <c r="G14" s="36" t="s">
        <v>68</v>
      </c>
    </row>
    <row r="15" customFormat="false" ht="15" hidden="false" customHeight="true" outlineLevel="0" collapsed="false">
      <c r="B15" s="36" t="s">
        <v>77</v>
      </c>
      <c r="C15" s="37" t="n">
        <v>97</v>
      </c>
      <c r="D15" s="38" t="n">
        <v>0.631</v>
      </c>
      <c r="E15" s="37" t="n">
        <v>119</v>
      </c>
      <c r="F15" s="38" t="n">
        <v>0.096</v>
      </c>
      <c r="G15" s="36" t="s">
        <v>68</v>
      </c>
    </row>
    <row r="16" customFormat="false" ht="15" hidden="false" customHeight="true" outlineLevel="0" collapsed="false">
      <c r="B16" s="36" t="s">
        <v>78</v>
      </c>
      <c r="C16" s="37" t="n">
        <v>104</v>
      </c>
      <c r="D16" s="38" t="n">
        <v>-0.086</v>
      </c>
      <c r="E16" s="37"/>
      <c r="F16" s="38"/>
      <c r="G16" s="36" t="s">
        <v>79</v>
      </c>
    </row>
    <row r="18" customFormat="false" ht="30" hidden="false" customHeight="true" outlineLevel="0" collapsed="false">
      <c r="B18" s="39" t="s">
        <v>80</v>
      </c>
      <c r="C18" s="39"/>
      <c r="D18" s="39"/>
      <c r="E18" s="39"/>
      <c r="F18" s="39"/>
      <c r="G18" s="39"/>
    </row>
  </sheetData>
  <mergeCells count="1">
    <mergeCell ref="B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0"/>
    <col collapsed="false" customWidth="true" hidden="false" outlineLevel="0" max="6" min="4" style="1" width="12"/>
  </cols>
  <sheetData>
    <row r="2" customFormat="false" ht="17.25" hidden="false" customHeight="true" outlineLevel="0" collapsed="false">
      <c r="B2" s="2" t="s">
        <v>81</v>
      </c>
    </row>
    <row r="4" customFormat="false" ht="23.25" hidden="false" customHeight="true" outlineLevel="0" collapsed="false">
      <c r="B4" s="16" t="s">
        <v>43</v>
      </c>
      <c r="C4" s="16" t="s">
        <v>6</v>
      </c>
      <c r="D4" s="16" t="s">
        <v>20</v>
      </c>
      <c r="E4" s="16" t="s">
        <v>32</v>
      </c>
      <c r="F4" s="16" t="s">
        <v>48</v>
      </c>
    </row>
    <row r="5" customFormat="false" ht="15" hidden="false" customHeight="true" outlineLevel="0" collapsed="false">
      <c r="B5" s="18" t="n">
        <v>2005</v>
      </c>
      <c r="C5" s="18" t="n">
        <f aca="false">COUNTIF(Trades!$G$2:$G$556,B5)</f>
        <v>27</v>
      </c>
      <c r="D5" s="40" t="n">
        <f aca="false">SUMIF(Trades!$G$2:$G$556,B5,Trades!$O$2:$O$556)</f>
        <v>4.3524</v>
      </c>
      <c r="E5" s="41" t="n">
        <f aca="false">IFERROR(D5/C5,0)</f>
        <v>0.1612</v>
      </c>
      <c r="F5" s="42" t="n">
        <f aca="false">SUMIF(Trades!$G$2:$G$556,B5,Trades!$P$2:$P$556)</f>
        <v>0.021762</v>
      </c>
    </row>
    <row r="6" customFormat="false" ht="15" hidden="false" customHeight="true" outlineLevel="0" collapsed="false">
      <c r="B6" s="18" t="n">
        <v>2006</v>
      </c>
      <c r="C6" s="18" t="n">
        <f aca="false">COUNTIF(Trades!$G$2:$G$556,B6)</f>
        <v>15</v>
      </c>
      <c r="D6" s="40" t="n">
        <f aca="false">SUMIF(Trades!$G$2:$G$556,B6,Trades!$O$2:$O$556)</f>
        <v>2.8147</v>
      </c>
      <c r="E6" s="41" t="n">
        <f aca="false">IFERROR(D6/C6,0)</f>
        <v>0.187646666666667</v>
      </c>
      <c r="F6" s="42" t="n">
        <f aca="false">SUMIF(Trades!$G$2:$G$556,B6,Trades!$P$2:$P$556)</f>
        <v>0.0140735</v>
      </c>
    </row>
    <row r="7" customFormat="false" ht="15" hidden="false" customHeight="true" outlineLevel="0" collapsed="false">
      <c r="B7" s="18" t="n">
        <v>2007</v>
      </c>
      <c r="C7" s="18" t="n">
        <f aca="false">COUNTIF(Trades!$G$2:$G$556,B7)</f>
        <v>20</v>
      </c>
      <c r="D7" s="40" t="n">
        <f aca="false">SUMIF(Trades!$G$2:$G$556,B7,Trades!$O$2:$O$556)</f>
        <v>8.2222</v>
      </c>
      <c r="E7" s="41" t="n">
        <f aca="false">IFERROR(D7/C7,0)</f>
        <v>0.41111</v>
      </c>
      <c r="F7" s="42" t="n">
        <f aca="false">SUMIF(Trades!$G$2:$G$556,B7,Trades!$P$2:$P$556)</f>
        <v>0.041111</v>
      </c>
    </row>
    <row r="8" customFormat="false" ht="15" hidden="false" customHeight="true" outlineLevel="0" collapsed="false">
      <c r="B8" s="18" t="n">
        <v>2008</v>
      </c>
      <c r="C8" s="18" t="n">
        <f aca="false">COUNTIF(Trades!$G$2:$G$556,B8)</f>
        <v>14</v>
      </c>
      <c r="D8" s="40" t="n">
        <f aca="false">SUMIF(Trades!$G$2:$G$556,B8,Trades!$O$2:$O$556)</f>
        <v>2.0439</v>
      </c>
      <c r="E8" s="41" t="n">
        <f aca="false">IFERROR(D8/C8,0)</f>
        <v>0.145992857142857</v>
      </c>
      <c r="F8" s="42" t="n">
        <f aca="false">SUMIF(Trades!$G$2:$G$556,B8,Trades!$P$2:$P$556)</f>
        <v>0.0102195</v>
      </c>
    </row>
    <row r="9" customFormat="false" ht="15" hidden="false" customHeight="true" outlineLevel="0" collapsed="false">
      <c r="B9" s="18" t="n">
        <v>2009</v>
      </c>
      <c r="C9" s="18" t="n">
        <f aca="false">COUNTIF(Trades!$G$2:$G$556,B9)</f>
        <v>26</v>
      </c>
      <c r="D9" s="40" t="n">
        <f aca="false">SUMIF(Trades!$G$2:$G$556,B9,Trades!$O$2:$O$556)</f>
        <v>9.874</v>
      </c>
      <c r="E9" s="41" t="n">
        <f aca="false">IFERROR(D9/C9,0)</f>
        <v>0.379769230769231</v>
      </c>
      <c r="F9" s="42" t="n">
        <f aca="false">SUMIF(Trades!$G$2:$G$556,B9,Trades!$P$2:$P$556)</f>
        <v>0.04937</v>
      </c>
    </row>
    <row r="10" customFormat="false" ht="15" hidden="false" customHeight="true" outlineLevel="0" collapsed="false">
      <c r="B10" s="18" t="n">
        <v>2010</v>
      </c>
      <c r="C10" s="18" t="n">
        <f aca="false">COUNTIF(Trades!$G$2:$G$556,B10)</f>
        <v>41</v>
      </c>
      <c r="D10" s="40" t="n">
        <f aca="false">SUMIF(Trades!$G$2:$G$556,B10,Trades!$O$2:$O$556)</f>
        <v>-4.9818</v>
      </c>
      <c r="E10" s="41" t="n">
        <f aca="false">IFERROR(D10/C10,0)</f>
        <v>-0.121507317073171</v>
      </c>
      <c r="F10" s="42" t="n">
        <f aca="false">SUMIF(Trades!$G$2:$G$556,B10,Trades!$P$2:$P$556)</f>
        <v>-0.024909</v>
      </c>
    </row>
    <row r="11" customFormat="false" ht="15" hidden="false" customHeight="true" outlineLevel="0" collapsed="false">
      <c r="B11" s="18" t="n">
        <v>2011</v>
      </c>
      <c r="C11" s="18" t="n">
        <f aca="false">COUNTIF(Trades!$G$2:$G$556,B11)</f>
        <v>33</v>
      </c>
      <c r="D11" s="40" t="n">
        <f aca="false">SUMIF(Trades!$G$2:$G$556,B11,Trades!$O$2:$O$556)</f>
        <v>-3.6609</v>
      </c>
      <c r="E11" s="41" t="n">
        <f aca="false">IFERROR(D11/C11,0)</f>
        <v>-0.110936363636364</v>
      </c>
      <c r="F11" s="42" t="n">
        <f aca="false">SUMIF(Trades!$G$2:$G$556,B11,Trades!$P$2:$P$556)</f>
        <v>-0.0183045</v>
      </c>
    </row>
    <row r="12" customFormat="false" ht="15" hidden="false" customHeight="true" outlineLevel="0" collapsed="false">
      <c r="B12" s="18" t="n">
        <v>2012</v>
      </c>
      <c r="C12" s="18" t="n">
        <f aca="false">COUNTIF(Trades!$G$2:$G$556,B12)</f>
        <v>25</v>
      </c>
      <c r="D12" s="40" t="n">
        <f aca="false">SUMIF(Trades!$G$2:$G$556,B12,Trades!$O$2:$O$556)</f>
        <v>15.0317</v>
      </c>
      <c r="E12" s="41" t="n">
        <f aca="false">IFERROR(D12/C12,0)</f>
        <v>0.601268</v>
      </c>
      <c r="F12" s="42" t="n">
        <f aca="false">SUMIF(Trades!$G$2:$G$556,B12,Trades!$P$2:$P$556)</f>
        <v>0.0751585</v>
      </c>
    </row>
    <row r="13" customFormat="false" ht="15" hidden="false" customHeight="true" outlineLevel="0" collapsed="false">
      <c r="B13" s="18" t="n">
        <v>2013</v>
      </c>
      <c r="C13" s="18" t="n">
        <f aca="false">COUNTIF(Trades!$G$2:$G$556,B13)</f>
        <v>11</v>
      </c>
      <c r="D13" s="40" t="n">
        <f aca="false">SUMIF(Trades!$G$2:$G$556,B13,Trades!$O$2:$O$556)</f>
        <v>-6.6213</v>
      </c>
      <c r="E13" s="41" t="n">
        <f aca="false">IFERROR(D13/C13,0)</f>
        <v>-0.601936363636364</v>
      </c>
      <c r="F13" s="42" t="n">
        <f aca="false">SUMIF(Trades!$G$2:$G$556,B13,Trades!$P$2:$P$556)</f>
        <v>-0.0331065</v>
      </c>
    </row>
    <row r="14" customFormat="false" ht="15" hidden="false" customHeight="true" outlineLevel="0" collapsed="false">
      <c r="B14" s="18" t="n">
        <v>2014</v>
      </c>
      <c r="C14" s="18" t="n">
        <f aca="false">COUNTIF(Trades!$G$2:$G$556,B14)</f>
        <v>30</v>
      </c>
      <c r="D14" s="40" t="n">
        <f aca="false">SUMIF(Trades!$G$2:$G$556,B14,Trades!$O$2:$O$556)</f>
        <v>2.5967</v>
      </c>
      <c r="E14" s="41" t="n">
        <f aca="false">IFERROR(D14/C14,0)</f>
        <v>0.0865566666666667</v>
      </c>
      <c r="F14" s="42" t="n">
        <f aca="false">SUMIF(Trades!$G$2:$G$556,B14,Trades!$P$2:$P$556)</f>
        <v>0.0129835</v>
      </c>
    </row>
    <row r="15" customFormat="false" ht="15" hidden="false" customHeight="true" outlineLevel="0" collapsed="false">
      <c r="B15" s="18" t="n">
        <v>2015</v>
      </c>
      <c r="C15" s="18" t="n">
        <f aca="false">COUNTIF(Trades!$G$2:$G$556,B15)</f>
        <v>31</v>
      </c>
      <c r="D15" s="40" t="n">
        <f aca="false">SUMIF(Trades!$G$2:$G$556,B15,Trades!$O$2:$O$556)</f>
        <v>-7.3849</v>
      </c>
      <c r="E15" s="41" t="n">
        <f aca="false">IFERROR(D15/C15,0)</f>
        <v>-0.238222580645161</v>
      </c>
      <c r="F15" s="42" t="n">
        <f aca="false">SUMIF(Trades!$G$2:$G$556,B15,Trades!$P$2:$P$556)</f>
        <v>-0.0369245</v>
      </c>
    </row>
    <row r="16" customFormat="false" ht="15" hidden="false" customHeight="true" outlineLevel="0" collapsed="false">
      <c r="B16" s="18" t="n">
        <v>2016</v>
      </c>
      <c r="C16" s="18" t="n">
        <f aca="false">COUNTIF(Trades!$G$2:$G$556,B16)</f>
        <v>8</v>
      </c>
      <c r="D16" s="40" t="n">
        <f aca="false">SUMIF(Trades!$G$2:$G$556,B16,Trades!$O$2:$O$556)</f>
        <v>8.5041</v>
      </c>
      <c r="E16" s="41" t="n">
        <f aca="false">IFERROR(D16/C16,0)</f>
        <v>1.0630125</v>
      </c>
      <c r="F16" s="42" t="n">
        <f aca="false">SUMIF(Trades!$G$2:$G$556,B16,Trades!$P$2:$P$556)</f>
        <v>0.0425205</v>
      </c>
    </row>
    <row r="17" customFormat="false" ht="15" hidden="false" customHeight="true" outlineLevel="0" collapsed="false">
      <c r="B17" s="18" t="n">
        <v>2017</v>
      </c>
      <c r="C17" s="18" t="n">
        <f aca="false">COUNTIF(Trades!$G$2:$G$556,B17)</f>
        <v>21</v>
      </c>
      <c r="D17" s="40" t="n">
        <f aca="false">SUMIF(Trades!$G$2:$G$556,B17,Trades!$O$2:$O$556)</f>
        <v>7.6606</v>
      </c>
      <c r="E17" s="41" t="n">
        <f aca="false">IFERROR(D17/C17,0)</f>
        <v>0.364790476190476</v>
      </c>
      <c r="F17" s="42" t="n">
        <f aca="false">SUMIF(Trades!$G$2:$G$556,B17,Trades!$P$2:$P$556)</f>
        <v>0.038303</v>
      </c>
    </row>
    <row r="18" customFormat="false" ht="15" hidden="false" customHeight="true" outlineLevel="0" collapsed="false">
      <c r="B18" s="18" t="n">
        <v>2018</v>
      </c>
      <c r="C18" s="18" t="n">
        <f aca="false">COUNTIF(Trades!$G$2:$G$556,B18)</f>
        <v>37</v>
      </c>
      <c r="D18" s="40" t="n">
        <f aca="false">SUMIF(Trades!$G$2:$G$556,B18,Trades!$O$2:$O$556)</f>
        <v>8.389</v>
      </c>
      <c r="E18" s="41" t="n">
        <f aca="false">IFERROR(D18/C18,0)</f>
        <v>0.22672972972973</v>
      </c>
      <c r="F18" s="42" t="n">
        <f aca="false">SUMIF(Trades!$G$2:$G$556,B18,Trades!$P$2:$P$556)</f>
        <v>0.041945</v>
      </c>
    </row>
    <row r="19" customFormat="false" ht="15" hidden="false" customHeight="true" outlineLevel="0" collapsed="false">
      <c r="B19" s="18" t="n">
        <v>2019</v>
      </c>
      <c r="C19" s="18" t="n">
        <f aca="false">COUNTIF(Trades!$G$2:$G$556,B19)</f>
        <v>18</v>
      </c>
      <c r="D19" s="40" t="n">
        <f aca="false">SUMIF(Trades!$G$2:$G$556,B19,Trades!$O$2:$O$556)</f>
        <v>9.9531</v>
      </c>
      <c r="E19" s="41" t="n">
        <f aca="false">IFERROR(D19/C19,0)</f>
        <v>0.55295</v>
      </c>
      <c r="F19" s="42" t="n">
        <f aca="false">SUMIF(Trades!$G$2:$G$556,B19,Trades!$P$2:$P$556)</f>
        <v>0.0497655</v>
      </c>
    </row>
    <row r="20" customFormat="false" ht="15" hidden="false" customHeight="true" outlineLevel="0" collapsed="false">
      <c r="B20" s="18" t="n">
        <v>2020</v>
      </c>
      <c r="C20" s="18" t="n">
        <f aca="false">COUNTIF(Trades!$G$2:$G$556,B20)</f>
        <v>42</v>
      </c>
      <c r="D20" s="40" t="n">
        <f aca="false">SUMIF(Trades!$G$2:$G$556,B20,Trades!$O$2:$O$556)</f>
        <v>24.0642</v>
      </c>
      <c r="E20" s="41" t="n">
        <f aca="false">IFERROR(D20/C20,0)</f>
        <v>0.572957142857143</v>
      </c>
      <c r="F20" s="42" t="n">
        <f aca="false">SUMIF(Trades!$G$2:$G$556,B20,Trades!$P$2:$P$556)</f>
        <v>0.120321</v>
      </c>
    </row>
    <row r="21" customFormat="false" ht="15" hidden="false" customHeight="true" outlineLevel="0" collapsed="false">
      <c r="B21" s="18" t="n">
        <v>2021</v>
      </c>
      <c r="C21" s="18" t="n">
        <f aca="false">COUNTIF(Trades!$G$2:$G$556,B21)</f>
        <v>22</v>
      </c>
      <c r="D21" s="40" t="n">
        <f aca="false">SUMIF(Trades!$G$2:$G$556,B21,Trades!$O$2:$O$556)</f>
        <v>10.5026</v>
      </c>
      <c r="E21" s="41" t="n">
        <f aca="false">IFERROR(D21/C21,0)</f>
        <v>0.477390909090909</v>
      </c>
      <c r="F21" s="42" t="n">
        <f aca="false">SUMIF(Trades!$G$2:$G$556,B21,Trades!$P$2:$P$556)</f>
        <v>0.052513</v>
      </c>
    </row>
    <row r="22" customFormat="false" ht="15" hidden="false" customHeight="true" outlineLevel="0" collapsed="false">
      <c r="B22" s="18" t="n">
        <v>2022</v>
      </c>
      <c r="C22" s="18" t="n">
        <f aca="false">COUNTIF(Trades!$G$2:$G$556,B22)</f>
        <v>21</v>
      </c>
      <c r="D22" s="40" t="n">
        <f aca="false">SUMIF(Trades!$G$2:$G$556,B22,Trades!$O$2:$O$556)</f>
        <v>-3.1967</v>
      </c>
      <c r="E22" s="41" t="n">
        <f aca="false">IFERROR(D22/C22,0)</f>
        <v>-0.15222380952381</v>
      </c>
      <c r="F22" s="42" t="n">
        <f aca="false">SUMIF(Trades!$G$2:$G$556,B22,Trades!$P$2:$P$556)</f>
        <v>-0.0159835</v>
      </c>
    </row>
    <row r="23" customFormat="false" ht="15" hidden="false" customHeight="true" outlineLevel="0" collapsed="false">
      <c r="B23" s="18" t="n">
        <v>2023</v>
      </c>
      <c r="C23" s="18" t="n">
        <f aca="false">COUNTIF(Trades!$G$2:$G$556,B23)</f>
        <v>32</v>
      </c>
      <c r="D23" s="40" t="n">
        <f aca="false">SUMIF(Trades!$G$2:$G$556,B23,Trades!$O$2:$O$556)</f>
        <v>-0.6645</v>
      </c>
      <c r="E23" s="41" t="n">
        <f aca="false">IFERROR(D23/C23,0)</f>
        <v>-0.020765625</v>
      </c>
      <c r="F23" s="42" t="n">
        <f aca="false">SUMIF(Trades!$G$2:$G$556,B23,Trades!$P$2:$P$556)</f>
        <v>-0.0033225</v>
      </c>
    </row>
    <row r="24" customFormat="false" ht="15" hidden="false" customHeight="true" outlineLevel="0" collapsed="false">
      <c r="B24" s="18" t="n">
        <v>2024</v>
      </c>
      <c r="C24" s="18" t="n">
        <f aca="false">COUNTIF(Trades!$G$2:$G$556,B24)</f>
        <v>31</v>
      </c>
      <c r="D24" s="40" t="n">
        <f aca="false">SUMIF(Trades!$G$2:$G$556,B24,Trades!$O$2:$O$556)</f>
        <v>11.4797</v>
      </c>
      <c r="E24" s="41" t="n">
        <f aca="false">IFERROR(D24/C24,0)</f>
        <v>0.370312903225807</v>
      </c>
      <c r="F24" s="42" t="n">
        <f aca="false">SUMIF(Trades!$G$2:$G$556,B24,Trades!$P$2:$P$556)</f>
        <v>0.0573985</v>
      </c>
    </row>
    <row r="25" customFormat="false" ht="15" hidden="false" customHeight="true" outlineLevel="0" collapsed="false">
      <c r="B25" s="18" t="n">
        <v>2025</v>
      </c>
      <c r="C25" s="18" t="n">
        <f aca="false">COUNTIF(Trades!$G$2:$G$556,B25)</f>
        <v>28</v>
      </c>
      <c r="D25" s="40" t="n">
        <f aca="false">SUMIF(Trades!$G$2:$G$556,B25,Trades!$O$2:$O$556)</f>
        <v>11.1445</v>
      </c>
      <c r="E25" s="41" t="n">
        <f aca="false">IFERROR(D25/C25,0)</f>
        <v>0.398017857142857</v>
      </c>
      <c r="F25" s="42" t="n">
        <f aca="false">SUMIF(Trades!$G$2:$G$556,B25,Trades!$P$2:$P$556)</f>
        <v>0.0557225</v>
      </c>
    </row>
    <row r="26" customFormat="false" ht="15" hidden="false" customHeight="true" outlineLevel="0" collapsed="false">
      <c r="B26" s="18" t="n">
        <v>2026</v>
      </c>
      <c r="C26" s="18" t="n">
        <f aca="false">COUNTIF(Trades!$G$2:$G$556,B26)</f>
        <v>22</v>
      </c>
      <c r="D26" s="40" t="n">
        <f aca="false">SUMIF(Trades!$G$2:$G$556,B26,Trades!$O$2:$O$556)</f>
        <v>6.7627</v>
      </c>
      <c r="E26" s="41" t="n">
        <f aca="false">IFERROR(D26/C26,0)</f>
        <v>0.307395454545455</v>
      </c>
      <c r="F26" s="42" t="n">
        <f aca="false">SUMIF(Trades!$G$2:$G$556,B26,Trades!$P$2:$P$556)</f>
        <v>0.0338135</v>
      </c>
    </row>
    <row r="28" customFormat="false" ht="15" hidden="false" customHeight="true" outlineLevel="0" collapsed="false">
      <c r="B28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0"/>
  </cols>
  <sheetData>
    <row r="2" customFormat="false" ht="17.25" hidden="false" customHeight="true" outlineLevel="0" collapsed="false">
      <c r="B2" s="2" t="s">
        <v>83</v>
      </c>
    </row>
    <row r="4" customFormat="false" ht="15" hidden="false" customHeight="true" outlineLevel="0" collapsed="false">
      <c r="B4" s="16" t="s">
        <v>84</v>
      </c>
      <c r="C4" s="16" t="s">
        <v>85</v>
      </c>
      <c r="D4" s="16" t="s">
        <v>6</v>
      </c>
    </row>
    <row r="5" customFormat="false" ht="15" hidden="false" customHeight="true" outlineLevel="0" collapsed="false">
      <c r="B5" s="31" t="n">
        <v>38473</v>
      </c>
      <c r="C5" s="28" t="n">
        <f aca="false">SUMIF(Trades!$T$2:$T$556,B5,Trades!$P$2:$P$556)</f>
        <v>0.000431</v>
      </c>
      <c r="D5" s="43" t="n">
        <f aca="false">COUNTIF(Trades!$T$2:$T$556,B5)</f>
        <v>2</v>
      </c>
    </row>
    <row r="6" customFormat="false" ht="15" hidden="false" customHeight="true" outlineLevel="0" collapsed="false">
      <c r="B6" s="31" t="n">
        <v>38504</v>
      </c>
      <c r="C6" s="28" t="n">
        <f aca="false">SUMIF(Trades!$T$2:$T$556,B6,Trades!$P$2:$P$556)</f>
        <v>-0.0202925</v>
      </c>
      <c r="D6" s="43" t="n">
        <f aca="false">COUNTIF(Trades!$T$2:$T$556,B6)</f>
        <v>4</v>
      </c>
    </row>
    <row r="7" customFormat="false" ht="15" hidden="false" customHeight="true" outlineLevel="0" collapsed="false">
      <c r="B7" s="31" t="n">
        <v>38534</v>
      </c>
      <c r="C7" s="28" t="n">
        <f aca="false">SUMIF(Trades!$T$2:$T$556,B7,Trades!$P$2:$P$556)</f>
        <v>0.005655</v>
      </c>
      <c r="D7" s="43" t="n">
        <f aca="false">COUNTIF(Trades!$T$2:$T$556,B7)</f>
        <v>3</v>
      </c>
    </row>
    <row r="8" customFormat="false" ht="15" hidden="false" customHeight="true" outlineLevel="0" collapsed="false">
      <c r="B8" s="31" t="n">
        <v>38565</v>
      </c>
      <c r="C8" s="28" t="n">
        <f aca="false">SUMIF(Trades!$T$2:$T$556,B8,Trades!$P$2:$P$556)</f>
        <v>0.011789</v>
      </c>
      <c r="D8" s="43" t="n">
        <f aca="false">COUNTIF(Trades!$T$2:$T$556,B8)</f>
        <v>4</v>
      </c>
    </row>
    <row r="9" customFormat="false" ht="15" hidden="false" customHeight="true" outlineLevel="0" collapsed="false">
      <c r="B9" s="31" t="n">
        <v>38596</v>
      </c>
      <c r="C9" s="28" t="n">
        <f aca="false">SUMIF(Trades!$T$2:$T$556,B9,Trades!$P$2:$P$556)</f>
        <v>-0.0150185</v>
      </c>
      <c r="D9" s="43" t="n">
        <f aca="false">COUNTIF(Trades!$T$2:$T$556,B9)</f>
        <v>4</v>
      </c>
    </row>
    <row r="10" customFormat="false" ht="15" hidden="false" customHeight="true" outlineLevel="0" collapsed="false">
      <c r="B10" s="31" t="n">
        <v>38626</v>
      </c>
      <c r="C10" s="28" t="n">
        <f aca="false">SUMIF(Trades!$T$2:$T$556,B10,Trades!$P$2:$P$556)</f>
        <v>0.030665</v>
      </c>
      <c r="D10" s="43" t="n">
        <f aca="false">COUNTIF(Trades!$T$2:$T$556,B10)</f>
        <v>2</v>
      </c>
    </row>
    <row r="11" customFormat="false" ht="15" hidden="false" customHeight="true" outlineLevel="0" collapsed="false">
      <c r="B11" s="31" t="n">
        <v>38657</v>
      </c>
      <c r="C11" s="28" t="n">
        <f aca="false">SUMIF(Trades!$T$2:$T$556,B11,Trades!$P$2:$P$556)</f>
        <v>-0.0046255</v>
      </c>
      <c r="D11" s="43" t="n">
        <f aca="false">COUNTIF(Trades!$T$2:$T$556,B11)</f>
        <v>3</v>
      </c>
    </row>
    <row r="12" customFormat="false" ht="15" hidden="false" customHeight="true" outlineLevel="0" collapsed="false">
      <c r="B12" s="31" t="n">
        <v>38687</v>
      </c>
      <c r="C12" s="28" t="n">
        <f aca="false">SUMIF(Trades!$T$2:$T$556,B12,Trades!$P$2:$P$556)</f>
        <v>0.0131585</v>
      </c>
      <c r="D12" s="43" t="n">
        <f aca="false">COUNTIF(Trades!$T$2:$T$556,B12)</f>
        <v>5</v>
      </c>
    </row>
    <row r="13" customFormat="false" ht="15" hidden="false" customHeight="true" outlineLevel="0" collapsed="false">
      <c r="B13" s="31" t="n">
        <v>38718</v>
      </c>
      <c r="C13" s="28" t="n">
        <f aca="false">SUMIF(Trades!$T$2:$T$556,B13,Trades!$P$2:$P$556)</f>
        <v>0.00016</v>
      </c>
      <c r="D13" s="43" t="n">
        <f aca="false">COUNTIF(Trades!$T$2:$T$556,B13)</f>
        <v>1</v>
      </c>
    </row>
    <row r="14" customFormat="false" ht="15" hidden="false" customHeight="true" outlineLevel="0" collapsed="false">
      <c r="B14" s="31" t="n">
        <v>38749</v>
      </c>
      <c r="C14" s="28" t="n">
        <f aca="false">SUMIF(Trades!$T$2:$T$556,B14,Trades!$P$2:$P$556)</f>
        <v>0.0001805</v>
      </c>
      <c r="D14" s="43" t="n">
        <f aca="false">COUNTIF(Trades!$T$2:$T$556,B14)</f>
        <v>1</v>
      </c>
    </row>
    <row r="15" customFormat="false" ht="15" hidden="false" customHeight="true" outlineLevel="0" collapsed="false">
      <c r="B15" s="31" t="n">
        <v>38777</v>
      </c>
      <c r="C15" s="28" t="n">
        <f aca="false">SUMIF(Trades!$T$2:$T$556,B15,Trades!$P$2:$P$556)</f>
        <v>-0.009376</v>
      </c>
      <c r="D15" s="43" t="n">
        <f aca="false">COUNTIF(Trades!$T$2:$T$556,B15)</f>
        <v>6</v>
      </c>
    </row>
    <row r="16" customFormat="false" ht="15" hidden="false" customHeight="true" outlineLevel="0" collapsed="false">
      <c r="B16" s="31" t="n">
        <v>38808</v>
      </c>
      <c r="C16" s="28" t="n">
        <f aca="false">SUMIF(Trades!$T$2:$T$556,B16,Trades!$P$2:$P$556)</f>
        <v>0.021405</v>
      </c>
      <c r="D16" s="43" t="n">
        <f aca="false">COUNTIF(Trades!$T$2:$T$556,B16)</f>
        <v>2</v>
      </c>
    </row>
    <row r="17" customFormat="false" ht="15" hidden="false" customHeight="true" outlineLevel="0" collapsed="false">
      <c r="B17" s="31" t="n">
        <v>38838</v>
      </c>
      <c r="C17" s="28" t="n">
        <f aca="false">SUMIF(Trades!$T$2:$T$556,B17,Trades!$P$2:$P$556)</f>
        <v>-0.004887</v>
      </c>
      <c r="D17" s="43" t="n">
        <f aca="false">COUNTIF(Trades!$T$2:$T$556,B17)</f>
        <v>2</v>
      </c>
    </row>
    <row r="18" customFormat="false" ht="15" hidden="false" customHeight="true" outlineLevel="0" collapsed="false">
      <c r="B18" s="31" t="n">
        <v>38869</v>
      </c>
      <c r="C18" s="28" t="n">
        <f aca="false">SUMIF(Trades!$T$2:$T$556,B18,Trades!$P$2:$P$556)</f>
        <v>-0.005068</v>
      </c>
      <c r="D18" s="43" t="n">
        <f aca="false">COUNTIF(Trades!$T$2:$T$556,B18)</f>
        <v>1</v>
      </c>
    </row>
    <row r="19" customFormat="false" ht="15" hidden="false" customHeight="true" outlineLevel="0" collapsed="false">
      <c r="B19" s="31" t="n">
        <v>38899</v>
      </c>
      <c r="C19" s="28" t="n">
        <f aca="false">SUMIF(Trades!$T$2:$T$556,B19,Trades!$P$2:$P$556)</f>
        <v>0.016753</v>
      </c>
      <c r="D19" s="43" t="n">
        <f aca="false">COUNTIF(Trades!$T$2:$T$556,B19)</f>
        <v>1</v>
      </c>
    </row>
    <row r="20" customFormat="false" ht="15" hidden="false" customHeight="true" outlineLevel="0" collapsed="false">
      <c r="B20" s="31" t="n">
        <v>38930</v>
      </c>
      <c r="C20" s="28" t="n">
        <f aca="false">SUMIF(Trades!$T$2:$T$556,B20,Trades!$P$2:$P$556)</f>
        <v>0</v>
      </c>
      <c r="D20" s="43" t="n">
        <f aca="false">COUNTIF(Trades!$T$2:$T$556,B20)</f>
        <v>0</v>
      </c>
    </row>
    <row r="21" customFormat="false" ht="15" hidden="false" customHeight="true" outlineLevel="0" collapsed="false">
      <c r="B21" s="31" t="n">
        <v>38961</v>
      </c>
      <c r="C21" s="28" t="n">
        <f aca="false">SUMIF(Trades!$T$2:$T$556,B21,Trades!$P$2:$P$556)</f>
        <v>0</v>
      </c>
      <c r="D21" s="43" t="n">
        <f aca="false">COUNTIF(Trades!$T$2:$T$556,B21)</f>
        <v>0</v>
      </c>
    </row>
    <row r="22" customFormat="false" ht="15" hidden="false" customHeight="true" outlineLevel="0" collapsed="false">
      <c r="B22" s="31" t="n">
        <v>38991</v>
      </c>
      <c r="C22" s="28" t="n">
        <f aca="false">SUMIF(Trades!$T$2:$T$556,B22,Trades!$P$2:$P$556)</f>
        <v>0</v>
      </c>
      <c r="D22" s="43" t="n">
        <f aca="false">COUNTIF(Trades!$T$2:$T$556,B22)</f>
        <v>0</v>
      </c>
    </row>
    <row r="23" customFormat="false" ht="15" hidden="false" customHeight="true" outlineLevel="0" collapsed="false">
      <c r="B23" s="31" t="n">
        <v>39022</v>
      </c>
      <c r="C23" s="28" t="n">
        <f aca="false">SUMIF(Trades!$T$2:$T$556,B23,Trades!$P$2:$P$556)</f>
        <v>-0.005094</v>
      </c>
      <c r="D23" s="43" t="n">
        <f aca="false">COUNTIF(Trades!$T$2:$T$556,B23)</f>
        <v>1</v>
      </c>
    </row>
    <row r="24" customFormat="false" ht="15" hidden="false" customHeight="true" outlineLevel="0" collapsed="false">
      <c r="B24" s="31" t="n">
        <v>39052</v>
      </c>
      <c r="C24" s="28" t="n">
        <f aca="false">SUMIF(Trades!$T$2:$T$556,B24,Trades!$P$2:$P$556)</f>
        <v>0</v>
      </c>
      <c r="D24" s="43" t="n">
        <f aca="false">COUNTIF(Trades!$T$2:$T$556,B24)</f>
        <v>0</v>
      </c>
    </row>
    <row r="25" customFormat="false" ht="15" hidden="false" customHeight="true" outlineLevel="0" collapsed="false">
      <c r="B25" s="31" t="n">
        <v>39083</v>
      </c>
      <c r="C25" s="28" t="n">
        <f aca="false">SUMIF(Trades!$T$2:$T$556,B25,Trades!$P$2:$P$556)</f>
        <v>0</v>
      </c>
      <c r="D25" s="43" t="n">
        <f aca="false">COUNTIF(Trades!$T$2:$T$556,B25)</f>
        <v>0</v>
      </c>
    </row>
    <row r="26" customFormat="false" ht="15" hidden="false" customHeight="true" outlineLevel="0" collapsed="false">
      <c r="B26" s="31" t="n">
        <v>39114</v>
      </c>
      <c r="C26" s="28" t="n">
        <f aca="false">SUMIF(Trades!$T$2:$T$556,B26,Trades!$P$2:$P$556)</f>
        <v>0</v>
      </c>
      <c r="D26" s="43" t="n">
        <f aca="false">COUNTIF(Trades!$T$2:$T$556,B26)</f>
        <v>0</v>
      </c>
    </row>
    <row r="27" customFormat="false" ht="15" hidden="false" customHeight="true" outlineLevel="0" collapsed="false">
      <c r="B27" s="31" t="n">
        <v>39142</v>
      </c>
      <c r="C27" s="28" t="n">
        <f aca="false">SUMIF(Trades!$T$2:$T$556,B27,Trades!$P$2:$P$556)</f>
        <v>-0.0050345</v>
      </c>
      <c r="D27" s="43" t="n">
        <f aca="false">COUNTIF(Trades!$T$2:$T$556,B27)</f>
        <v>1</v>
      </c>
    </row>
    <row r="28" customFormat="false" ht="15" hidden="false" customHeight="true" outlineLevel="0" collapsed="false">
      <c r="B28" s="31" t="n">
        <v>39173</v>
      </c>
      <c r="C28" s="28" t="n">
        <f aca="false">SUMIF(Trades!$T$2:$T$556,B28,Trades!$P$2:$P$556)</f>
        <v>0</v>
      </c>
      <c r="D28" s="43" t="n">
        <f aca="false">COUNTIF(Trades!$T$2:$T$556,B28)</f>
        <v>0</v>
      </c>
    </row>
    <row r="29" customFormat="false" ht="15" hidden="false" customHeight="true" outlineLevel="0" collapsed="false">
      <c r="B29" s="31" t="n">
        <v>39203</v>
      </c>
      <c r="C29" s="28" t="n">
        <f aca="false">SUMIF(Trades!$T$2:$T$556,B29,Trades!$P$2:$P$556)</f>
        <v>0</v>
      </c>
      <c r="D29" s="43" t="n">
        <f aca="false">COUNTIF(Trades!$T$2:$T$556,B29)</f>
        <v>0</v>
      </c>
    </row>
    <row r="30" customFormat="false" ht="15" hidden="false" customHeight="true" outlineLevel="0" collapsed="false">
      <c r="B30" s="31" t="n">
        <v>39234</v>
      </c>
      <c r="C30" s="28" t="n">
        <f aca="false">SUMIF(Trades!$T$2:$T$556,B30,Trades!$P$2:$P$556)</f>
        <v>0</v>
      </c>
      <c r="D30" s="43" t="n">
        <f aca="false">COUNTIF(Trades!$T$2:$T$556,B30)</f>
        <v>0</v>
      </c>
    </row>
    <row r="31" customFormat="false" ht="15" hidden="false" customHeight="true" outlineLevel="0" collapsed="false">
      <c r="B31" s="31" t="n">
        <v>39264</v>
      </c>
      <c r="C31" s="28" t="n">
        <f aca="false">SUMIF(Trades!$T$2:$T$556,B31,Trades!$P$2:$P$556)</f>
        <v>0</v>
      </c>
      <c r="D31" s="43" t="n">
        <f aca="false">COUNTIF(Trades!$T$2:$T$556,B31)</f>
        <v>0</v>
      </c>
    </row>
    <row r="32" customFormat="false" ht="15" hidden="false" customHeight="true" outlineLevel="0" collapsed="false">
      <c r="B32" s="31" t="n">
        <v>39295</v>
      </c>
      <c r="C32" s="28" t="n">
        <f aca="false">SUMIF(Trades!$T$2:$T$556,B32,Trades!$P$2:$P$556)</f>
        <v>-0.0149765</v>
      </c>
      <c r="D32" s="43" t="n">
        <f aca="false">COUNTIF(Trades!$T$2:$T$556,B32)</f>
        <v>4</v>
      </c>
    </row>
    <row r="33" customFormat="false" ht="15" hidden="false" customHeight="true" outlineLevel="0" collapsed="false">
      <c r="B33" s="31" t="n">
        <v>39326</v>
      </c>
      <c r="C33" s="28" t="n">
        <f aca="false">SUMIF(Trades!$T$2:$T$556,B33,Trades!$P$2:$P$556)</f>
        <v>0.0001475</v>
      </c>
      <c r="D33" s="43" t="n">
        <f aca="false">COUNTIF(Trades!$T$2:$T$556,B33)</f>
        <v>2</v>
      </c>
    </row>
    <row r="34" customFormat="false" ht="15" hidden="false" customHeight="true" outlineLevel="0" collapsed="false">
      <c r="B34" s="31" t="n">
        <v>39356</v>
      </c>
      <c r="C34" s="28" t="n">
        <f aca="false">SUMIF(Trades!$T$2:$T$556,B34,Trades!$P$2:$P$556)</f>
        <v>-0.003266</v>
      </c>
      <c r="D34" s="43" t="n">
        <f aca="false">COUNTIF(Trades!$T$2:$T$556,B34)</f>
        <v>6</v>
      </c>
    </row>
    <row r="35" customFormat="false" ht="15" hidden="false" customHeight="true" outlineLevel="0" collapsed="false">
      <c r="B35" s="31" t="n">
        <v>39387</v>
      </c>
      <c r="C35" s="28" t="n">
        <f aca="false">SUMIF(Trades!$T$2:$T$556,B35,Trades!$P$2:$P$556)</f>
        <v>0.02684</v>
      </c>
      <c r="D35" s="43" t="n">
        <f aca="false">COUNTIF(Trades!$T$2:$T$556,B35)</f>
        <v>4</v>
      </c>
    </row>
    <row r="36" customFormat="false" ht="15" hidden="false" customHeight="true" outlineLevel="0" collapsed="false">
      <c r="B36" s="31" t="n">
        <v>39417</v>
      </c>
      <c r="C36" s="28" t="n">
        <f aca="false">SUMIF(Trades!$T$2:$T$556,B36,Trades!$P$2:$P$556)</f>
        <v>0.0374005</v>
      </c>
      <c r="D36" s="43" t="n">
        <f aca="false">COUNTIF(Trades!$T$2:$T$556,B36)</f>
        <v>3</v>
      </c>
    </row>
    <row r="37" customFormat="false" ht="15" hidden="false" customHeight="true" outlineLevel="0" collapsed="false">
      <c r="B37" s="31" t="n">
        <v>39448</v>
      </c>
      <c r="C37" s="28" t="n">
        <f aca="false">SUMIF(Trades!$T$2:$T$556,B37,Trades!$P$2:$P$556)</f>
        <v>0</v>
      </c>
      <c r="D37" s="43" t="n">
        <f aca="false">COUNTIF(Trades!$T$2:$T$556,B37)</f>
        <v>0</v>
      </c>
    </row>
    <row r="38" customFormat="false" ht="15" hidden="false" customHeight="true" outlineLevel="0" collapsed="false">
      <c r="B38" s="31" t="n">
        <v>39479</v>
      </c>
      <c r="C38" s="28" t="n">
        <f aca="false">SUMIF(Trades!$T$2:$T$556,B38,Trades!$P$2:$P$556)</f>
        <v>0</v>
      </c>
      <c r="D38" s="43" t="n">
        <f aca="false">COUNTIF(Trades!$T$2:$T$556,B38)</f>
        <v>0</v>
      </c>
    </row>
    <row r="39" customFormat="false" ht="15" hidden="false" customHeight="true" outlineLevel="0" collapsed="false">
      <c r="B39" s="31" t="n">
        <v>39508</v>
      </c>
      <c r="C39" s="28" t="n">
        <f aca="false">SUMIF(Trades!$T$2:$T$556,B39,Trades!$P$2:$P$556)</f>
        <v>0</v>
      </c>
      <c r="D39" s="43" t="n">
        <f aca="false">COUNTIF(Trades!$T$2:$T$556,B39)</f>
        <v>0</v>
      </c>
    </row>
    <row r="40" customFormat="false" ht="15" hidden="false" customHeight="true" outlineLevel="0" collapsed="false">
      <c r="B40" s="31" t="n">
        <v>39539</v>
      </c>
      <c r="C40" s="28" t="n">
        <f aca="false">SUMIF(Trades!$T$2:$T$556,B40,Trades!$P$2:$P$556)</f>
        <v>0</v>
      </c>
      <c r="D40" s="43" t="n">
        <f aca="false">COUNTIF(Trades!$T$2:$T$556,B40)</f>
        <v>0</v>
      </c>
    </row>
    <row r="41" customFormat="false" ht="15" hidden="false" customHeight="true" outlineLevel="0" collapsed="false">
      <c r="B41" s="31" t="n">
        <v>39569</v>
      </c>
      <c r="C41" s="28" t="n">
        <f aca="false">SUMIF(Trades!$T$2:$T$556,B41,Trades!$P$2:$P$556)</f>
        <v>-0.0100665</v>
      </c>
      <c r="D41" s="43" t="n">
        <f aca="false">COUNTIF(Trades!$T$2:$T$556,B41)</f>
        <v>2</v>
      </c>
    </row>
    <row r="42" customFormat="false" ht="15" hidden="false" customHeight="true" outlineLevel="0" collapsed="false">
      <c r="B42" s="31" t="n">
        <v>39600</v>
      </c>
      <c r="C42" s="28" t="n">
        <f aca="false">SUMIF(Trades!$T$2:$T$556,B42,Trades!$P$2:$P$556)</f>
        <v>0.015804</v>
      </c>
      <c r="D42" s="43" t="n">
        <f aca="false">COUNTIF(Trades!$T$2:$T$556,B42)</f>
        <v>3</v>
      </c>
    </row>
    <row r="43" customFormat="false" ht="15" hidden="false" customHeight="true" outlineLevel="0" collapsed="false">
      <c r="B43" s="31" t="n">
        <v>39630</v>
      </c>
      <c r="C43" s="28" t="n">
        <f aca="false">SUMIF(Trades!$T$2:$T$556,B43,Trades!$P$2:$P$556)</f>
        <v>0.0296315</v>
      </c>
      <c r="D43" s="43" t="n">
        <f aca="false">COUNTIF(Trades!$T$2:$T$556,B43)</f>
        <v>3</v>
      </c>
    </row>
    <row r="44" customFormat="false" ht="15" hidden="false" customHeight="true" outlineLevel="0" collapsed="false">
      <c r="B44" s="31" t="n">
        <v>39661</v>
      </c>
      <c r="C44" s="28" t="n">
        <f aca="false">SUMIF(Trades!$T$2:$T$556,B44,Trades!$P$2:$P$556)</f>
        <v>-0.0202005</v>
      </c>
      <c r="D44" s="43" t="n">
        <f aca="false">COUNTIF(Trades!$T$2:$T$556,B44)</f>
        <v>4</v>
      </c>
    </row>
    <row r="45" customFormat="false" ht="15" hidden="false" customHeight="true" outlineLevel="0" collapsed="false">
      <c r="B45" s="31" t="n">
        <v>39692</v>
      </c>
      <c r="C45" s="28" t="n">
        <f aca="false">SUMIF(Trades!$T$2:$T$556,B45,Trades!$P$2:$P$556)</f>
        <v>7.25E-005</v>
      </c>
      <c r="D45" s="43" t="n">
        <f aca="false">COUNTIF(Trades!$T$2:$T$556,B45)</f>
        <v>1</v>
      </c>
    </row>
    <row r="46" customFormat="false" ht="15" hidden="false" customHeight="true" outlineLevel="0" collapsed="false">
      <c r="B46" s="31" t="n">
        <v>39722</v>
      </c>
      <c r="C46" s="28" t="n">
        <f aca="false">SUMIF(Trades!$T$2:$T$556,B46,Trades!$P$2:$P$556)</f>
        <v>0</v>
      </c>
      <c r="D46" s="43" t="n">
        <f aca="false">COUNTIF(Trades!$T$2:$T$556,B46)</f>
        <v>0</v>
      </c>
    </row>
    <row r="47" customFormat="false" ht="15" hidden="false" customHeight="true" outlineLevel="0" collapsed="false">
      <c r="B47" s="31" t="n">
        <v>39753</v>
      </c>
      <c r="C47" s="28" t="n">
        <f aca="false">SUMIF(Trades!$T$2:$T$556,B47,Trades!$P$2:$P$556)</f>
        <v>0</v>
      </c>
      <c r="D47" s="43" t="n">
        <f aca="false">COUNTIF(Trades!$T$2:$T$556,B47)</f>
        <v>0</v>
      </c>
    </row>
    <row r="48" customFormat="false" ht="15" hidden="false" customHeight="true" outlineLevel="0" collapsed="false">
      <c r="B48" s="31" t="n">
        <v>39783</v>
      </c>
      <c r="C48" s="28" t="n">
        <f aca="false">SUMIF(Trades!$T$2:$T$556,B48,Trades!$P$2:$P$556)</f>
        <v>-0.0050215</v>
      </c>
      <c r="D48" s="43" t="n">
        <f aca="false">COUNTIF(Trades!$T$2:$T$556,B48)</f>
        <v>1</v>
      </c>
    </row>
    <row r="49" customFormat="false" ht="15" hidden="false" customHeight="true" outlineLevel="0" collapsed="false">
      <c r="B49" s="31" t="n">
        <v>39814</v>
      </c>
      <c r="C49" s="28" t="n">
        <f aca="false">SUMIF(Trades!$T$2:$T$556,B49,Trades!$P$2:$P$556)</f>
        <v>-0.0049435</v>
      </c>
      <c r="D49" s="43" t="n">
        <f aca="false">COUNTIF(Trades!$T$2:$T$556,B49)</f>
        <v>2</v>
      </c>
    </row>
    <row r="50" customFormat="false" ht="15" hidden="false" customHeight="true" outlineLevel="0" collapsed="false">
      <c r="B50" s="31" t="n">
        <v>39845</v>
      </c>
      <c r="C50" s="28" t="n">
        <f aca="false">SUMIF(Trades!$T$2:$T$556,B50,Trades!$P$2:$P$556)</f>
        <v>-0.0047285</v>
      </c>
      <c r="D50" s="43" t="n">
        <f aca="false">COUNTIF(Trades!$T$2:$T$556,B50)</f>
        <v>6</v>
      </c>
    </row>
    <row r="51" customFormat="false" ht="15" hidden="false" customHeight="true" outlineLevel="0" collapsed="false">
      <c r="B51" s="31" t="n">
        <v>39873</v>
      </c>
      <c r="C51" s="28" t="n">
        <f aca="false">SUMIF(Trades!$T$2:$T$556,B51,Trades!$P$2:$P$556)</f>
        <v>-0.020019</v>
      </c>
      <c r="D51" s="43" t="n">
        <f aca="false">COUNTIF(Trades!$T$2:$T$556,B51)</f>
        <v>5</v>
      </c>
    </row>
    <row r="52" customFormat="false" ht="15" hidden="false" customHeight="true" outlineLevel="0" collapsed="false">
      <c r="B52" s="31" t="n">
        <v>39904</v>
      </c>
      <c r="C52" s="28" t="n">
        <f aca="false">SUMIF(Trades!$T$2:$T$556,B52,Trades!$P$2:$P$556)</f>
        <v>8.55E-005</v>
      </c>
      <c r="D52" s="43" t="n">
        <f aca="false">COUNTIF(Trades!$T$2:$T$556,B52)</f>
        <v>1</v>
      </c>
    </row>
    <row r="53" customFormat="false" ht="15" hidden="false" customHeight="true" outlineLevel="0" collapsed="false">
      <c r="B53" s="31" t="n">
        <v>39934</v>
      </c>
      <c r="C53" s="28" t="n">
        <f aca="false">SUMIF(Trades!$T$2:$T$556,B53,Trades!$P$2:$P$556)</f>
        <v>0.016303</v>
      </c>
      <c r="D53" s="43" t="n">
        <f aca="false">COUNTIF(Trades!$T$2:$T$556,B53)</f>
        <v>1</v>
      </c>
    </row>
    <row r="54" customFormat="false" ht="15" hidden="false" customHeight="true" outlineLevel="0" collapsed="false">
      <c r="B54" s="31" t="n">
        <v>39965</v>
      </c>
      <c r="C54" s="28" t="n">
        <f aca="false">SUMIF(Trades!$T$2:$T$556,B54,Trades!$P$2:$P$556)</f>
        <v>0</v>
      </c>
      <c r="D54" s="43" t="n">
        <f aca="false">COUNTIF(Trades!$T$2:$T$556,B54)</f>
        <v>0</v>
      </c>
    </row>
    <row r="55" customFormat="false" ht="15" hidden="false" customHeight="true" outlineLevel="0" collapsed="false">
      <c r="B55" s="31" t="n">
        <v>39995</v>
      </c>
      <c r="C55" s="28" t="n">
        <f aca="false">SUMIF(Trades!$T$2:$T$556,B55,Trades!$P$2:$P$556)</f>
        <v>0</v>
      </c>
      <c r="D55" s="43" t="n">
        <f aca="false">COUNTIF(Trades!$T$2:$T$556,B55)</f>
        <v>0</v>
      </c>
    </row>
    <row r="56" customFormat="false" ht="15" hidden="false" customHeight="true" outlineLevel="0" collapsed="false">
      <c r="B56" s="31" t="n">
        <v>40026</v>
      </c>
      <c r="C56" s="28" t="n">
        <f aca="false">SUMIF(Trades!$T$2:$T$556,B56,Trades!$P$2:$P$556)</f>
        <v>0.0335415</v>
      </c>
      <c r="D56" s="43" t="n">
        <f aca="false">COUNTIF(Trades!$T$2:$T$556,B56)</f>
        <v>2</v>
      </c>
    </row>
    <row r="57" customFormat="false" ht="15" hidden="false" customHeight="true" outlineLevel="0" collapsed="false">
      <c r="B57" s="31" t="n">
        <v>40057</v>
      </c>
      <c r="C57" s="28" t="n">
        <f aca="false">SUMIF(Trades!$T$2:$T$556,B57,Trades!$P$2:$P$556)</f>
        <v>0.0001405</v>
      </c>
      <c r="D57" s="43" t="n">
        <f aca="false">COUNTIF(Trades!$T$2:$T$556,B57)</f>
        <v>1</v>
      </c>
    </row>
    <row r="58" customFormat="false" ht="15" hidden="false" customHeight="true" outlineLevel="0" collapsed="false">
      <c r="B58" s="31" t="n">
        <v>40087</v>
      </c>
      <c r="C58" s="28" t="n">
        <f aca="false">SUMIF(Trades!$T$2:$T$556,B58,Trades!$P$2:$P$556)</f>
        <v>0.01658</v>
      </c>
      <c r="D58" s="43" t="n">
        <f aca="false">COUNTIF(Trades!$T$2:$T$556,B58)</f>
        <v>1</v>
      </c>
    </row>
    <row r="59" customFormat="false" ht="15" hidden="false" customHeight="true" outlineLevel="0" collapsed="false">
      <c r="B59" s="31" t="n">
        <v>40118</v>
      </c>
      <c r="C59" s="28" t="n">
        <f aca="false">SUMIF(Trades!$T$2:$T$556,B59,Trades!$P$2:$P$556)</f>
        <v>-0.0098575</v>
      </c>
      <c r="D59" s="43" t="n">
        <f aca="false">COUNTIF(Trades!$T$2:$T$556,B59)</f>
        <v>4</v>
      </c>
    </row>
    <row r="60" customFormat="false" ht="15" hidden="false" customHeight="true" outlineLevel="0" collapsed="false">
      <c r="B60" s="31" t="n">
        <v>40148</v>
      </c>
      <c r="C60" s="28" t="n">
        <f aca="false">SUMIF(Trades!$T$2:$T$556,B60,Trades!$P$2:$P$556)</f>
        <v>0.022268</v>
      </c>
      <c r="D60" s="43" t="n">
        <f aca="false">COUNTIF(Trades!$T$2:$T$556,B60)</f>
        <v>3</v>
      </c>
    </row>
    <row r="61" customFormat="false" ht="15" hidden="false" customHeight="true" outlineLevel="0" collapsed="false">
      <c r="B61" s="31" t="n">
        <v>40179</v>
      </c>
      <c r="C61" s="28" t="n">
        <f aca="false">SUMIF(Trades!$T$2:$T$556,B61,Trades!$P$2:$P$556)</f>
        <v>-0.0048815</v>
      </c>
      <c r="D61" s="43" t="n">
        <f aca="false">COUNTIF(Trades!$T$2:$T$556,B61)</f>
        <v>2</v>
      </c>
    </row>
    <row r="62" customFormat="false" ht="15" hidden="false" customHeight="true" outlineLevel="0" collapsed="false">
      <c r="B62" s="31" t="n">
        <v>40210</v>
      </c>
      <c r="C62" s="28" t="n">
        <f aca="false">SUMIF(Trades!$T$2:$T$556,B62,Trades!$P$2:$P$556)</f>
        <v>-0.0147315</v>
      </c>
      <c r="D62" s="43" t="n">
        <f aca="false">COUNTIF(Trades!$T$2:$T$556,B62)</f>
        <v>6</v>
      </c>
    </row>
    <row r="63" customFormat="false" ht="15" hidden="false" customHeight="true" outlineLevel="0" collapsed="false">
      <c r="B63" s="31" t="n">
        <v>40238</v>
      </c>
      <c r="C63" s="28" t="n">
        <f aca="false">SUMIF(Trades!$T$2:$T$556,B63,Trades!$P$2:$P$556)</f>
        <v>0</v>
      </c>
      <c r="D63" s="43" t="n">
        <f aca="false">COUNTIF(Trades!$T$2:$T$556,B63)</f>
        <v>0</v>
      </c>
    </row>
    <row r="64" customFormat="false" ht="15" hidden="false" customHeight="true" outlineLevel="0" collapsed="false">
      <c r="B64" s="31" t="n">
        <v>40269</v>
      </c>
      <c r="C64" s="28" t="n">
        <f aca="false">SUMIF(Trades!$T$2:$T$556,B64,Trades!$P$2:$P$556)</f>
        <v>-0.0200415</v>
      </c>
      <c r="D64" s="43" t="n">
        <f aca="false">COUNTIF(Trades!$T$2:$T$556,B64)</f>
        <v>5</v>
      </c>
    </row>
    <row r="65" customFormat="false" ht="15" hidden="false" customHeight="true" outlineLevel="0" collapsed="false">
      <c r="B65" s="31" t="n">
        <v>40299</v>
      </c>
      <c r="C65" s="28" t="n">
        <f aca="false">SUMIF(Trades!$T$2:$T$556,B65,Trades!$P$2:$P$556)</f>
        <v>0.0178965</v>
      </c>
      <c r="D65" s="43" t="n">
        <f aca="false">COUNTIF(Trades!$T$2:$T$556,B65)</f>
        <v>1</v>
      </c>
    </row>
    <row r="66" customFormat="false" ht="15" hidden="false" customHeight="true" outlineLevel="0" collapsed="false">
      <c r="B66" s="31" t="n">
        <v>40330</v>
      </c>
      <c r="C66" s="28" t="n">
        <f aca="false">SUMIF(Trades!$T$2:$T$556,B66,Trades!$P$2:$P$556)</f>
        <v>0.0003055</v>
      </c>
      <c r="D66" s="43" t="n">
        <f aca="false">COUNTIF(Trades!$T$2:$T$556,B66)</f>
        <v>3</v>
      </c>
    </row>
    <row r="67" customFormat="false" ht="15" hidden="false" customHeight="true" outlineLevel="0" collapsed="false">
      <c r="B67" s="31" t="n">
        <v>40360</v>
      </c>
      <c r="C67" s="28" t="n">
        <f aca="false">SUMIF(Trades!$T$2:$T$556,B67,Trades!$P$2:$P$556)</f>
        <v>0.0004925</v>
      </c>
      <c r="D67" s="43" t="n">
        <f aca="false">COUNTIF(Trades!$T$2:$T$556,B67)</f>
        <v>4</v>
      </c>
    </row>
    <row r="68" customFormat="false" ht="15" hidden="false" customHeight="true" outlineLevel="0" collapsed="false">
      <c r="B68" s="31" t="n">
        <v>40391</v>
      </c>
      <c r="C68" s="28" t="n">
        <f aca="false">SUMIF(Trades!$T$2:$T$556,B68,Trades!$P$2:$P$556)</f>
        <v>-0.0098095</v>
      </c>
      <c r="D68" s="43" t="n">
        <f aca="false">COUNTIF(Trades!$T$2:$T$556,B68)</f>
        <v>4</v>
      </c>
    </row>
    <row r="69" customFormat="false" ht="15" hidden="false" customHeight="true" outlineLevel="0" collapsed="false">
      <c r="B69" s="31" t="n">
        <v>40422</v>
      </c>
      <c r="C69" s="28" t="n">
        <f aca="false">SUMIF(Trades!$T$2:$T$556,B69,Trades!$P$2:$P$556)</f>
        <v>-0.015</v>
      </c>
      <c r="D69" s="43" t="n">
        <f aca="false">COUNTIF(Trades!$T$2:$T$556,B69)</f>
        <v>4</v>
      </c>
    </row>
    <row r="70" customFormat="false" ht="15" hidden="false" customHeight="true" outlineLevel="0" collapsed="false">
      <c r="B70" s="31" t="n">
        <v>40452</v>
      </c>
      <c r="C70" s="28" t="n">
        <f aca="false">SUMIF(Trades!$T$2:$T$556,B70,Trades!$P$2:$P$556)</f>
        <v>0.0097035</v>
      </c>
      <c r="D70" s="43" t="n">
        <f aca="false">COUNTIF(Trades!$T$2:$T$556,B70)</f>
        <v>4</v>
      </c>
    </row>
    <row r="71" customFormat="false" ht="15" hidden="false" customHeight="true" outlineLevel="0" collapsed="false">
      <c r="B71" s="31" t="n">
        <v>40483</v>
      </c>
      <c r="C71" s="28" t="n">
        <f aca="false">SUMIF(Trades!$T$2:$T$556,B71,Trades!$P$2:$P$556)</f>
        <v>0.004742</v>
      </c>
      <c r="D71" s="43" t="n">
        <f aca="false">COUNTIF(Trades!$T$2:$T$556,B71)</f>
        <v>5</v>
      </c>
    </row>
    <row r="72" customFormat="false" ht="15" hidden="false" customHeight="true" outlineLevel="0" collapsed="false">
      <c r="B72" s="31" t="n">
        <v>40513</v>
      </c>
      <c r="C72" s="28" t="n">
        <f aca="false">SUMIF(Trades!$T$2:$T$556,B72,Trades!$P$2:$P$556)</f>
        <v>0.006415</v>
      </c>
      <c r="D72" s="43" t="n">
        <f aca="false">COUNTIF(Trades!$T$2:$T$556,B72)</f>
        <v>3</v>
      </c>
    </row>
    <row r="73" customFormat="false" ht="15" hidden="false" customHeight="true" outlineLevel="0" collapsed="false">
      <c r="B73" s="31" t="n">
        <v>40544</v>
      </c>
      <c r="C73" s="28" t="n">
        <f aca="false">SUMIF(Trades!$T$2:$T$556,B73,Trades!$P$2:$P$556)</f>
        <v>-0.0150075</v>
      </c>
      <c r="D73" s="43" t="n">
        <f aca="false">COUNTIF(Trades!$T$2:$T$556,B73)</f>
        <v>4</v>
      </c>
    </row>
    <row r="74" customFormat="false" ht="15" hidden="false" customHeight="true" outlineLevel="0" collapsed="false">
      <c r="B74" s="31" t="n">
        <v>40575</v>
      </c>
      <c r="C74" s="28" t="n">
        <f aca="false">SUMIF(Trades!$T$2:$T$556,B74,Trades!$P$2:$P$556)</f>
        <v>0.003867</v>
      </c>
      <c r="D74" s="43" t="n">
        <f aca="false">COUNTIF(Trades!$T$2:$T$556,B74)</f>
        <v>5</v>
      </c>
    </row>
    <row r="75" customFormat="false" ht="15" hidden="false" customHeight="true" outlineLevel="0" collapsed="false">
      <c r="B75" s="31" t="n">
        <v>40603</v>
      </c>
      <c r="C75" s="28" t="n">
        <f aca="false">SUMIF(Trades!$T$2:$T$556,B75,Trades!$P$2:$P$556)</f>
        <v>0.010955</v>
      </c>
      <c r="D75" s="43" t="n">
        <f aca="false">COUNTIF(Trades!$T$2:$T$556,B75)</f>
        <v>2</v>
      </c>
    </row>
    <row r="76" customFormat="false" ht="15" hidden="false" customHeight="true" outlineLevel="0" collapsed="false">
      <c r="B76" s="31" t="n">
        <v>40634</v>
      </c>
      <c r="C76" s="28" t="n">
        <f aca="false">SUMIF(Trades!$T$2:$T$556,B76,Trades!$P$2:$P$556)</f>
        <v>-0.0148015</v>
      </c>
      <c r="D76" s="43" t="n">
        <f aca="false">COUNTIF(Trades!$T$2:$T$556,B76)</f>
        <v>5</v>
      </c>
    </row>
    <row r="77" customFormat="false" ht="15" hidden="false" customHeight="true" outlineLevel="0" collapsed="false">
      <c r="B77" s="31" t="n">
        <v>40664</v>
      </c>
      <c r="C77" s="28" t="n">
        <f aca="false">SUMIF(Trades!$T$2:$T$556,B77,Trades!$P$2:$P$556)</f>
        <v>0.0037975</v>
      </c>
      <c r="D77" s="43" t="n">
        <f aca="false">COUNTIF(Trades!$T$2:$T$556,B77)</f>
        <v>5</v>
      </c>
    </row>
    <row r="78" customFormat="false" ht="15" hidden="false" customHeight="true" outlineLevel="0" collapsed="false">
      <c r="B78" s="31" t="n">
        <v>40695</v>
      </c>
      <c r="C78" s="28" t="n">
        <f aca="false">SUMIF(Trades!$T$2:$T$556,B78,Trades!$P$2:$P$556)</f>
        <v>-0.014786</v>
      </c>
      <c r="D78" s="43" t="n">
        <f aca="false">COUNTIF(Trades!$T$2:$T$556,B78)</f>
        <v>5</v>
      </c>
    </row>
    <row r="79" customFormat="false" ht="15" hidden="false" customHeight="true" outlineLevel="0" collapsed="false">
      <c r="B79" s="31" t="n">
        <v>40725</v>
      </c>
      <c r="C79" s="28" t="n">
        <f aca="false">SUMIF(Trades!$T$2:$T$556,B79,Trades!$P$2:$P$556)</f>
        <v>0.0164515</v>
      </c>
      <c r="D79" s="43" t="n">
        <f aca="false">COUNTIF(Trades!$T$2:$T$556,B79)</f>
        <v>1</v>
      </c>
    </row>
    <row r="80" customFormat="false" ht="15" hidden="false" customHeight="true" outlineLevel="0" collapsed="false">
      <c r="B80" s="31" t="n">
        <v>40756</v>
      </c>
      <c r="C80" s="28" t="n">
        <f aca="false">SUMIF(Trades!$T$2:$T$556,B80,Trades!$P$2:$P$556)</f>
        <v>-0.020271</v>
      </c>
      <c r="D80" s="43" t="n">
        <f aca="false">COUNTIF(Trades!$T$2:$T$556,B80)</f>
        <v>4</v>
      </c>
    </row>
    <row r="81" customFormat="false" ht="15" hidden="false" customHeight="true" outlineLevel="0" collapsed="false">
      <c r="B81" s="31" t="n">
        <v>40787</v>
      </c>
      <c r="C81" s="28" t="n">
        <f aca="false">SUMIF(Trades!$T$2:$T$556,B81,Trades!$P$2:$P$556)</f>
        <v>0</v>
      </c>
      <c r="D81" s="43" t="n">
        <f aca="false">COUNTIF(Trades!$T$2:$T$556,B81)</f>
        <v>0</v>
      </c>
    </row>
    <row r="82" customFormat="false" ht="15" hidden="false" customHeight="true" outlineLevel="0" collapsed="false">
      <c r="B82" s="31" t="n">
        <v>40817</v>
      </c>
      <c r="C82" s="28" t="n">
        <f aca="false">SUMIF(Trades!$T$2:$T$556,B82,Trades!$P$2:$P$556)</f>
        <v>0</v>
      </c>
      <c r="D82" s="43" t="n">
        <f aca="false">COUNTIF(Trades!$T$2:$T$556,B82)</f>
        <v>0</v>
      </c>
    </row>
    <row r="83" customFormat="false" ht="15" hidden="false" customHeight="true" outlineLevel="0" collapsed="false">
      <c r="B83" s="31" t="n">
        <v>40848</v>
      </c>
      <c r="C83" s="28" t="n">
        <f aca="false">SUMIF(Trades!$T$2:$T$556,B83,Trades!$P$2:$P$556)</f>
        <v>0</v>
      </c>
      <c r="D83" s="43" t="n">
        <f aca="false">COUNTIF(Trades!$T$2:$T$556,B83)</f>
        <v>0</v>
      </c>
    </row>
    <row r="84" customFormat="false" ht="15" hidden="false" customHeight="true" outlineLevel="0" collapsed="false">
      <c r="B84" s="31" t="n">
        <v>40878</v>
      </c>
      <c r="C84" s="28" t="n">
        <f aca="false">SUMIF(Trades!$T$2:$T$556,B84,Trades!$P$2:$P$556)</f>
        <v>0.0114905</v>
      </c>
      <c r="D84" s="43" t="n">
        <f aca="false">COUNTIF(Trades!$T$2:$T$556,B84)</f>
        <v>2</v>
      </c>
    </row>
    <row r="85" customFormat="false" ht="15" hidden="false" customHeight="true" outlineLevel="0" collapsed="false">
      <c r="B85" s="31" t="n">
        <v>40909</v>
      </c>
      <c r="C85" s="28" t="n">
        <f aca="false">SUMIF(Trades!$T$2:$T$556,B85,Trades!$P$2:$P$556)</f>
        <v>0</v>
      </c>
      <c r="D85" s="43" t="n">
        <f aca="false">COUNTIF(Trades!$T$2:$T$556,B85)</f>
        <v>0</v>
      </c>
    </row>
    <row r="86" customFormat="false" ht="15" hidden="false" customHeight="true" outlineLevel="0" collapsed="false">
      <c r="B86" s="31" t="n">
        <v>40940</v>
      </c>
      <c r="C86" s="28" t="n">
        <f aca="false">SUMIF(Trades!$T$2:$T$556,B86,Trades!$P$2:$P$556)</f>
        <v>0.0126705</v>
      </c>
      <c r="D86" s="43" t="n">
        <f aca="false">COUNTIF(Trades!$T$2:$T$556,B86)</f>
        <v>3</v>
      </c>
    </row>
    <row r="87" customFormat="false" ht="15" hidden="false" customHeight="true" outlineLevel="0" collapsed="false">
      <c r="B87" s="31" t="n">
        <v>40969</v>
      </c>
      <c r="C87" s="28" t="n">
        <f aca="false">SUMIF(Trades!$T$2:$T$556,B87,Trades!$P$2:$P$556)</f>
        <v>0.011087</v>
      </c>
      <c r="D87" s="43" t="n">
        <f aca="false">COUNTIF(Trades!$T$2:$T$556,B87)</f>
        <v>2</v>
      </c>
    </row>
    <row r="88" customFormat="false" ht="15" hidden="false" customHeight="true" outlineLevel="0" collapsed="false">
      <c r="B88" s="31" t="n">
        <v>41000</v>
      </c>
      <c r="C88" s="28" t="n">
        <f aca="false">SUMIF(Trades!$T$2:$T$556,B88,Trades!$P$2:$P$556)</f>
        <v>-0.020067</v>
      </c>
      <c r="D88" s="43" t="n">
        <f aca="false">COUNTIF(Trades!$T$2:$T$556,B88)</f>
        <v>5</v>
      </c>
    </row>
    <row r="89" customFormat="false" ht="15" hidden="false" customHeight="true" outlineLevel="0" collapsed="false">
      <c r="B89" s="31" t="n">
        <v>41030</v>
      </c>
      <c r="C89" s="28" t="n">
        <f aca="false">SUMIF(Trades!$T$2:$T$556,B89,Trades!$P$2:$P$556)</f>
        <v>0.006285</v>
      </c>
      <c r="D89" s="43" t="n">
        <f aca="false">COUNTIF(Trades!$T$2:$T$556,B89)</f>
        <v>3</v>
      </c>
    </row>
    <row r="90" customFormat="false" ht="15" hidden="false" customHeight="true" outlineLevel="0" collapsed="false">
      <c r="B90" s="31" t="n">
        <v>41061</v>
      </c>
      <c r="C90" s="28" t="n">
        <f aca="false">SUMIF(Trades!$T$2:$T$556,B90,Trades!$P$2:$P$556)</f>
        <v>0.0460725</v>
      </c>
      <c r="D90" s="43" t="n">
        <f aca="false">COUNTIF(Trades!$T$2:$T$556,B90)</f>
        <v>2</v>
      </c>
    </row>
    <row r="91" customFormat="false" ht="15" hidden="false" customHeight="true" outlineLevel="0" collapsed="false">
      <c r="B91" s="31" t="n">
        <v>41091</v>
      </c>
      <c r="C91" s="28" t="n">
        <f aca="false">SUMIF(Trades!$T$2:$T$556,B91,Trades!$P$2:$P$556)</f>
        <v>0</v>
      </c>
      <c r="D91" s="43" t="n">
        <f aca="false">COUNTIF(Trades!$T$2:$T$556,B91)</f>
        <v>0</v>
      </c>
    </row>
    <row r="92" customFormat="false" ht="15" hidden="false" customHeight="true" outlineLevel="0" collapsed="false">
      <c r="B92" s="31" t="n">
        <v>41122</v>
      </c>
      <c r="C92" s="28" t="n">
        <f aca="false">SUMIF(Trades!$T$2:$T$556,B92,Trades!$P$2:$P$556)</f>
        <v>0.018497</v>
      </c>
      <c r="D92" s="43" t="n">
        <f aca="false">COUNTIF(Trades!$T$2:$T$556,B92)</f>
        <v>2</v>
      </c>
    </row>
    <row r="93" customFormat="false" ht="15" hidden="false" customHeight="true" outlineLevel="0" collapsed="false">
      <c r="B93" s="31" t="n">
        <v>41153</v>
      </c>
      <c r="C93" s="28" t="n">
        <f aca="false">SUMIF(Trades!$T$2:$T$556,B93,Trades!$P$2:$P$556)</f>
        <v>-0.0098985</v>
      </c>
      <c r="D93" s="43" t="n">
        <f aca="false">COUNTIF(Trades!$T$2:$T$556,B93)</f>
        <v>3</v>
      </c>
    </row>
    <row r="94" customFormat="false" ht="15" hidden="false" customHeight="true" outlineLevel="0" collapsed="false">
      <c r="B94" s="31" t="n">
        <v>41183</v>
      </c>
      <c r="C94" s="28" t="n">
        <f aca="false">SUMIF(Trades!$T$2:$T$556,B94,Trades!$P$2:$P$556)</f>
        <v>0.0156005</v>
      </c>
      <c r="D94" s="43" t="n">
        <f aca="false">COUNTIF(Trades!$T$2:$T$556,B94)</f>
        <v>4</v>
      </c>
    </row>
    <row r="95" customFormat="false" ht="15" hidden="false" customHeight="true" outlineLevel="0" collapsed="false">
      <c r="B95" s="31" t="n">
        <v>41214</v>
      </c>
      <c r="C95" s="28" t="n">
        <f aca="false">SUMIF(Trades!$T$2:$T$556,B95,Trades!$P$2:$P$556)</f>
        <v>-0.0050885</v>
      </c>
      <c r="D95" s="43" t="n">
        <f aca="false">COUNTIF(Trades!$T$2:$T$556,B95)</f>
        <v>1</v>
      </c>
    </row>
    <row r="96" customFormat="false" ht="15" hidden="false" customHeight="true" outlineLevel="0" collapsed="false">
      <c r="B96" s="31" t="n">
        <v>41244</v>
      </c>
      <c r="C96" s="28" t="n">
        <f aca="false">SUMIF(Trades!$T$2:$T$556,B96,Trades!$P$2:$P$556)</f>
        <v>0</v>
      </c>
      <c r="D96" s="43" t="n">
        <f aca="false">COUNTIF(Trades!$T$2:$T$556,B96)</f>
        <v>0</v>
      </c>
    </row>
    <row r="97" customFormat="false" ht="15" hidden="false" customHeight="true" outlineLevel="0" collapsed="false">
      <c r="B97" s="31" t="n">
        <v>41275</v>
      </c>
      <c r="C97" s="28" t="n">
        <f aca="false">SUMIF(Trades!$T$2:$T$556,B97,Trades!$P$2:$P$556)</f>
        <v>0</v>
      </c>
      <c r="D97" s="43" t="n">
        <f aca="false">COUNTIF(Trades!$T$2:$T$556,B97)</f>
        <v>0</v>
      </c>
    </row>
    <row r="98" customFormat="false" ht="15" hidden="false" customHeight="true" outlineLevel="0" collapsed="false">
      <c r="B98" s="31" t="n">
        <v>41306</v>
      </c>
      <c r="C98" s="28" t="n">
        <f aca="false">SUMIF(Trades!$T$2:$T$556,B98,Trades!$P$2:$P$556)</f>
        <v>0</v>
      </c>
      <c r="D98" s="43" t="n">
        <f aca="false">COUNTIF(Trades!$T$2:$T$556,B98)</f>
        <v>0</v>
      </c>
    </row>
    <row r="99" customFormat="false" ht="15" hidden="false" customHeight="true" outlineLevel="0" collapsed="false">
      <c r="B99" s="31" t="n">
        <v>41334</v>
      </c>
      <c r="C99" s="28" t="n">
        <f aca="false">SUMIF(Trades!$T$2:$T$556,B99,Trades!$P$2:$P$556)</f>
        <v>0</v>
      </c>
      <c r="D99" s="43" t="n">
        <f aca="false">COUNTIF(Trades!$T$2:$T$556,B99)</f>
        <v>0</v>
      </c>
    </row>
    <row r="100" customFormat="false" ht="15" hidden="false" customHeight="true" outlineLevel="0" collapsed="false">
      <c r="B100" s="31" t="n">
        <v>41365</v>
      </c>
      <c r="C100" s="28" t="n">
        <f aca="false">SUMIF(Trades!$T$2:$T$556,B100,Trades!$P$2:$P$556)</f>
        <v>0</v>
      </c>
      <c r="D100" s="43" t="n">
        <f aca="false">COUNTIF(Trades!$T$2:$T$556,B100)</f>
        <v>0</v>
      </c>
    </row>
    <row r="101" customFormat="false" ht="15" hidden="false" customHeight="true" outlineLevel="0" collapsed="false">
      <c r="B101" s="31" t="n">
        <v>41395</v>
      </c>
      <c r="C101" s="28" t="n">
        <f aca="false">SUMIF(Trades!$T$2:$T$556,B101,Trades!$P$2:$P$556)</f>
        <v>-0.010106</v>
      </c>
      <c r="D101" s="43" t="n">
        <f aca="false">COUNTIF(Trades!$T$2:$T$556,B101)</f>
        <v>2</v>
      </c>
    </row>
    <row r="102" customFormat="false" ht="15" hidden="false" customHeight="true" outlineLevel="0" collapsed="false">
      <c r="B102" s="31" t="n">
        <v>41426</v>
      </c>
      <c r="C102" s="28" t="n">
        <f aca="false">SUMIF(Trades!$T$2:$T$556,B102,Trades!$P$2:$P$556)</f>
        <v>-0.0045655</v>
      </c>
      <c r="D102" s="43" t="n">
        <f aca="false">COUNTIF(Trades!$T$2:$T$556,B102)</f>
        <v>4</v>
      </c>
    </row>
    <row r="103" customFormat="false" ht="15" hidden="false" customHeight="true" outlineLevel="0" collapsed="false">
      <c r="B103" s="31" t="n">
        <v>41456</v>
      </c>
      <c r="C103" s="28" t="n">
        <f aca="false">SUMIF(Trades!$T$2:$T$556,B103,Trades!$P$2:$P$556)</f>
        <v>-0.0133775</v>
      </c>
      <c r="D103" s="43" t="n">
        <f aca="false">COUNTIF(Trades!$T$2:$T$556,B103)</f>
        <v>4</v>
      </c>
    </row>
    <row r="104" customFormat="false" ht="15" hidden="false" customHeight="true" outlineLevel="0" collapsed="false">
      <c r="B104" s="31" t="n">
        <v>41487</v>
      </c>
      <c r="C104" s="28" t="n">
        <f aca="false">SUMIF(Trades!$T$2:$T$556,B104,Trades!$P$2:$P$556)</f>
        <v>-0.0050575</v>
      </c>
      <c r="D104" s="43" t="n">
        <f aca="false">COUNTIF(Trades!$T$2:$T$556,B104)</f>
        <v>1</v>
      </c>
    </row>
    <row r="105" customFormat="false" ht="15" hidden="false" customHeight="true" outlineLevel="0" collapsed="false">
      <c r="B105" s="31" t="n">
        <v>41518</v>
      </c>
      <c r="C105" s="28" t="n">
        <f aca="false">SUMIF(Trades!$T$2:$T$556,B105,Trades!$P$2:$P$556)</f>
        <v>0</v>
      </c>
      <c r="D105" s="43" t="n">
        <f aca="false">COUNTIF(Trades!$T$2:$T$556,B105)</f>
        <v>0</v>
      </c>
    </row>
    <row r="106" customFormat="false" ht="15" hidden="false" customHeight="true" outlineLevel="0" collapsed="false">
      <c r="B106" s="31" t="n">
        <v>41548</v>
      </c>
      <c r="C106" s="28" t="n">
        <f aca="false">SUMIF(Trades!$T$2:$T$556,B106,Trades!$P$2:$P$556)</f>
        <v>0</v>
      </c>
      <c r="D106" s="43" t="n">
        <f aca="false">COUNTIF(Trades!$T$2:$T$556,B106)</f>
        <v>0</v>
      </c>
    </row>
    <row r="107" customFormat="false" ht="15" hidden="false" customHeight="true" outlineLevel="0" collapsed="false">
      <c r="B107" s="31" t="n">
        <v>41579</v>
      </c>
      <c r="C107" s="28" t="n">
        <f aca="false">SUMIF(Trades!$T$2:$T$556,B107,Trades!$P$2:$P$556)</f>
        <v>0</v>
      </c>
      <c r="D107" s="43" t="n">
        <f aca="false">COUNTIF(Trades!$T$2:$T$556,B107)</f>
        <v>0</v>
      </c>
    </row>
    <row r="108" customFormat="false" ht="15" hidden="false" customHeight="true" outlineLevel="0" collapsed="false">
      <c r="B108" s="31" t="n">
        <v>41609</v>
      </c>
      <c r="C108" s="28" t="n">
        <f aca="false">SUMIF(Trades!$T$2:$T$556,B108,Trades!$P$2:$P$556)</f>
        <v>0</v>
      </c>
      <c r="D108" s="43" t="n">
        <f aca="false">COUNTIF(Trades!$T$2:$T$556,B108)</f>
        <v>0</v>
      </c>
    </row>
    <row r="109" customFormat="false" ht="15" hidden="false" customHeight="true" outlineLevel="0" collapsed="false">
      <c r="B109" s="31" t="n">
        <v>41640</v>
      </c>
      <c r="C109" s="28" t="n">
        <f aca="false">SUMIF(Trades!$T$2:$T$556,B109,Trades!$P$2:$P$556)</f>
        <v>0</v>
      </c>
      <c r="D109" s="43" t="n">
        <f aca="false">COUNTIF(Trades!$T$2:$T$556,B109)</f>
        <v>0</v>
      </c>
    </row>
    <row r="110" customFormat="false" ht="15" hidden="false" customHeight="true" outlineLevel="0" collapsed="false">
      <c r="B110" s="31" t="n">
        <v>41671</v>
      </c>
      <c r="C110" s="28" t="n">
        <f aca="false">SUMIF(Trades!$T$2:$T$556,B110,Trades!$P$2:$P$556)</f>
        <v>-0.004881</v>
      </c>
      <c r="D110" s="43" t="n">
        <f aca="false">COUNTIF(Trades!$T$2:$T$556,B110)</f>
        <v>2</v>
      </c>
    </row>
    <row r="111" customFormat="false" ht="15" hidden="false" customHeight="true" outlineLevel="0" collapsed="false">
      <c r="B111" s="31" t="n">
        <v>41699</v>
      </c>
      <c r="C111" s="28" t="n">
        <f aca="false">SUMIF(Trades!$T$2:$T$556,B111,Trades!$P$2:$P$556)</f>
        <v>-0.0047135</v>
      </c>
      <c r="D111" s="43" t="n">
        <f aca="false">COUNTIF(Trades!$T$2:$T$556,B111)</f>
        <v>3</v>
      </c>
    </row>
    <row r="112" customFormat="false" ht="15" hidden="false" customHeight="true" outlineLevel="0" collapsed="false">
      <c r="B112" s="31" t="n">
        <v>41730</v>
      </c>
      <c r="C112" s="28" t="n">
        <f aca="false">SUMIF(Trades!$T$2:$T$556,B112,Trades!$P$2:$P$556)</f>
        <v>-0.0149725</v>
      </c>
      <c r="D112" s="43" t="n">
        <f aca="false">COUNTIF(Trades!$T$2:$T$556,B112)</f>
        <v>4</v>
      </c>
    </row>
    <row r="113" customFormat="false" ht="15" hidden="false" customHeight="true" outlineLevel="0" collapsed="false">
      <c r="B113" s="31" t="n">
        <v>41760</v>
      </c>
      <c r="C113" s="28" t="n">
        <f aca="false">SUMIF(Trades!$T$2:$T$556,B113,Trades!$P$2:$P$556)</f>
        <v>0.0099885</v>
      </c>
      <c r="D113" s="43" t="n">
        <f aca="false">COUNTIF(Trades!$T$2:$T$556,B113)</f>
        <v>6</v>
      </c>
    </row>
    <row r="114" customFormat="false" ht="15" hidden="false" customHeight="true" outlineLevel="0" collapsed="false">
      <c r="B114" s="31" t="n">
        <v>41791</v>
      </c>
      <c r="C114" s="28" t="n">
        <f aca="false">SUMIF(Trades!$T$2:$T$556,B114,Trades!$P$2:$P$556)</f>
        <v>-0.009868</v>
      </c>
      <c r="D114" s="43" t="n">
        <f aca="false">COUNTIF(Trades!$T$2:$T$556,B114)</f>
        <v>3</v>
      </c>
    </row>
    <row r="115" customFormat="false" ht="15" hidden="false" customHeight="true" outlineLevel="0" collapsed="false">
      <c r="B115" s="31" t="n">
        <v>41821</v>
      </c>
      <c r="C115" s="28" t="n">
        <f aca="false">SUMIF(Trades!$T$2:$T$556,B115,Trades!$P$2:$P$556)</f>
        <v>0.0125495</v>
      </c>
      <c r="D115" s="43" t="n">
        <f aca="false">COUNTIF(Trades!$T$2:$T$556,B115)</f>
        <v>3</v>
      </c>
    </row>
    <row r="116" customFormat="false" ht="15" hidden="false" customHeight="true" outlineLevel="0" collapsed="false">
      <c r="B116" s="31" t="n">
        <v>41852</v>
      </c>
      <c r="C116" s="28" t="n">
        <f aca="false">SUMIF(Trades!$T$2:$T$556,B116,Trades!$P$2:$P$556)</f>
        <v>0.0081025</v>
      </c>
      <c r="D116" s="43" t="n">
        <f aca="false">COUNTIF(Trades!$T$2:$T$556,B116)</f>
        <v>6</v>
      </c>
    </row>
    <row r="117" customFormat="false" ht="15" hidden="false" customHeight="true" outlineLevel="0" collapsed="false">
      <c r="B117" s="31" t="n">
        <v>41883</v>
      </c>
      <c r="C117" s="28" t="n">
        <f aca="false">SUMIF(Trades!$T$2:$T$556,B117,Trades!$P$2:$P$556)</f>
        <v>-0.0050945</v>
      </c>
      <c r="D117" s="43" t="n">
        <f aca="false">COUNTIF(Trades!$T$2:$T$556,B117)</f>
        <v>1</v>
      </c>
    </row>
    <row r="118" customFormat="false" ht="15" hidden="false" customHeight="true" outlineLevel="0" collapsed="false">
      <c r="B118" s="31" t="n">
        <v>41913</v>
      </c>
      <c r="C118" s="28" t="n">
        <f aca="false">SUMIF(Trades!$T$2:$T$556,B118,Trades!$P$2:$P$556)</f>
        <v>0.0218725</v>
      </c>
      <c r="D118" s="43" t="n">
        <f aca="false">COUNTIF(Trades!$T$2:$T$556,B118)</f>
        <v>2</v>
      </c>
    </row>
    <row r="119" customFormat="false" ht="15" hidden="false" customHeight="true" outlineLevel="0" collapsed="false">
      <c r="B119" s="31" t="n">
        <v>41944</v>
      </c>
      <c r="C119" s="28" t="n">
        <f aca="false">SUMIF(Trades!$T$2:$T$556,B119,Trades!$P$2:$P$556)</f>
        <v>0</v>
      </c>
      <c r="D119" s="43" t="n">
        <f aca="false">COUNTIF(Trades!$T$2:$T$556,B119)</f>
        <v>0</v>
      </c>
    </row>
    <row r="120" customFormat="false" ht="15" hidden="false" customHeight="true" outlineLevel="0" collapsed="false">
      <c r="B120" s="31" t="n">
        <v>41974</v>
      </c>
      <c r="C120" s="28" t="n">
        <f aca="false">SUMIF(Trades!$T$2:$T$556,B120,Trades!$P$2:$P$556)</f>
        <v>0</v>
      </c>
      <c r="D120" s="43" t="n">
        <f aca="false">COUNTIF(Trades!$T$2:$T$556,B120)</f>
        <v>0</v>
      </c>
    </row>
    <row r="121" customFormat="false" ht="15" hidden="false" customHeight="true" outlineLevel="0" collapsed="false">
      <c r="B121" s="31" t="n">
        <v>42005</v>
      </c>
      <c r="C121" s="28" t="n">
        <f aca="false">SUMIF(Trades!$T$2:$T$556,B121,Trades!$P$2:$P$556)</f>
        <v>0</v>
      </c>
      <c r="D121" s="43" t="n">
        <f aca="false">COUNTIF(Trades!$T$2:$T$556,B121)</f>
        <v>0</v>
      </c>
    </row>
    <row r="122" customFormat="false" ht="15" hidden="false" customHeight="true" outlineLevel="0" collapsed="false">
      <c r="B122" s="31" t="n">
        <v>42036</v>
      </c>
      <c r="C122" s="28" t="n">
        <f aca="false">SUMIF(Trades!$T$2:$T$556,B122,Trades!$P$2:$P$556)</f>
        <v>-0.0149925</v>
      </c>
      <c r="D122" s="43" t="n">
        <f aca="false">COUNTIF(Trades!$T$2:$T$556,B122)</f>
        <v>4</v>
      </c>
    </row>
    <row r="123" customFormat="false" ht="15" hidden="false" customHeight="true" outlineLevel="0" collapsed="false">
      <c r="B123" s="31" t="n">
        <v>42064</v>
      </c>
      <c r="C123" s="28" t="n">
        <f aca="false">SUMIF(Trades!$T$2:$T$556,B123,Trades!$P$2:$P$556)</f>
        <v>-0.014832</v>
      </c>
      <c r="D123" s="43" t="n">
        <f aca="false">COUNTIF(Trades!$T$2:$T$556,B123)</f>
        <v>5</v>
      </c>
    </row>
    <row r="124" customFormat="false" ht="15" hidden="false" customHeight="true" outlineLevel="0" collapsed="false">
      <c r="B124" s="31" t="n">
        <v>42095</v>
      </c>
      <c r="C124" s="28" t="n">
        <f aca="false">SUMIF(Trades!$T$2:$T$556,B124,Trades!$P$2:$P$556)</f>
        <v>-0.0047065</v>
      </c>
      <c r="D124" s="43" t="n">
        <f aca="false">COUNTIF(Trades!$T$2:$T$556,B124)</f>
        <v>3</v>
      </c>
    </row>
    <row r="125" customFormat="false" ht="15" hidden="false" customHeight="true" outlineLevel="0" collapsed="false">
      <c r="B125" s="31" t="n">
        <v>42125</v>
      </c>
      <c r="C125" s="28" t="n">
        <f aca="false">SUMIF(Trades!$T$2:$T$556,B125,Trades!$P$2:$P$556)</f>
        <v>-0.010116</v>
      </c>
      <c r="D125" s="43" t="n">
        <f aca="false">COUNTIF(Trades!$T$2:$T$556,B125)</f>
        <v>2</v>
      </c>
    </row>
    <row r="126" customFormat="false" ht="15" hidden="false" customHeight="true" outlineLevel="0" collapsed="false">
      <c r="B126" s="31" t="n">
        <v>42156</v>
      </c>
      <c r="C126" s="28" t="n">
        <f aca="false">SUMIF(Trades!$T$2:$T$556,B126,Trades!$P$2:$P$556)</f>
        <v>0</v>
      </c>
      <c r="D126" s="43" t="n">
        <f aca="false">COUNTIF(Trades!$T$2:$T$556,B126)</f>
        <v>0</v>
      </c>
    </row>
    <row r="127" customFormat="false" ht="15" hidden="false" customHeight="true" outlineLevel="0" collapsed="false">
      <c r="B127" s="31" t="n">
        <v>42186</v>
      </c>
      <c r="C127" s="28" t="n">
        <f aca="false">SUMIF(Trades!$T$2:$T$556,B127,Trades!$P$2:$P$556)</f>
        <v>-0.0050485</v>
      </c>
      <c r="D127" s="43" t="n">
        <f aca="false">COUNTIF(Trades!$T$2:$T$556,B127)</f>
        <v>1</v>
      </c>
    </row>
    <row r="128" customFormat="false" ht="15" hidden="false" customHeight="true" outlineLevel="0" collapsed="false">
      <c r="B128" s="31" t="n">
        <v>42217</v>
      </c>
      <c r="C128" s="28" t="n">
        <f aca="false">SUMIF(Trades!$T$2:$T$556,B128,Trades!$P$2:$P$556)</f>
        <v>0</v>
      </c>
      <c r="D128" s="43" t="n">
        <f aca="false">COUNTIF(Trades!$T$2:$T$556,B128)</f>
        <v>0</v>
      </c>
    </row>
    <row r="129" customFormat="false" ht="15" hidden="false" customHeight="true" outlineLevel="0" collapsed="false">
      <c r="B129" s="31" t="n">
        <v>42248</v>
      </c>
      <c r="C129" s="28" t="n">
        <f aca="false">SUMIF(Trades!$T$2:$T$556,B129,Trades!$P$2:$P$556)</f>
        <v>0.0003465</v>
      </c>
      <c r="D129" s="43" t="n">
        <f aca="false">COUNTIF(Trades!$T$2:$T$556,B129)</f>
        <v>5</v>
      </c>
    </row>
    <row r="130" customFormat="false" ht="15" hidden="false" customHeight="true" outlineLevel="0" collapsed="false">
      <c r="B130" s="31" t="n">
        <v>42278</v>
      </c>
      <c r="C130" s="28" t="n">
        <f aca="false">SUMIF(Trades!$T$2:$T$556,B130,Trades!$P$2:$P$556)</f>
        <v>0.027049</v>
      </c>
      <c r="D130" s="43" t="n">
        <f aca="false">COUNTIF(Trades!$T$2:$T$556,B130)</f>
        <v>5</v>
      </c>
    </row>
    <row r="131" customFormat="false" ht="15" hidden="false" customHeight="true" outlineLevel="0" collapsed="false">
      <c r="B131" s="31" t="n">
        <v>42309</v>
      </c>
      <c r="C131" s="28" t="n">
        <f aca="false">SUMIF(Trades!$T$2:$T$556,B131,Trades!$P$2:$P$556)</f>
        <v>-0.009923</v>
      </c>
      <c r="D131" s="43" t="n">
        <f aca="false">COUNTIF(Trades!$T$2:$T$556,B131)</f>
        <v>3</v>
      </c>
    </row>
    <row r="132" customFormat="false" ht="15" hidden="false" customHeight="true" outlineLevel="0" collapsed="false">
      <c r="B132" s="31" t="n">
        <v>42339</v>
      </c>
      <c r="C132" s="28" t="n">
        <f aca="false">SUMIF(Trades!$T$2:$T$556,B132,Trades!$P$2:$P$556)</f>
        <v>-0.0047015</v>
      </c>
      <c r="D132" s="43" t="n">
        <f aca="false">COUNTIF(Trades!$T$2:$T$556,B132)</f>
        <v>3</v>
      </c>
    </row>
    <row r="133" customFormat="false" ht="15" hidden="false" customHeight="true" outlineLevel="0" collapsed="false">
      <c r="B133" s="31" t="n">
        <v>42370</v>
      </c>
      <c r="C133" s="28" t="n">
        <f aca="false">SUMIF(Trades!$T$2:$T$556,B133,Trades!$P$2:$P$556)</f>
        <v>0</v>
      </c>
      <c r="D133" s="43" t="n">
        <f aca="false">COUNTIF(Trades!$T$2:$T$556,B133)</f>
        <v>0</v>
      </c>
    </row>
    <row r="134" customFormat="false" ht="15" hidden="false" customHeight="true" outlineLevel="0" collapsed="false">
      <c r="B134" s="31" t="n">
        <v>42401</v>
      </c>
      <c r="C134" s="28" t="n">
        <f aca="false">SUMIF(Trades!$T$2:$T$556,B134,Trades!$P$2:$P$556)</f>
        <v>0</v>
      </c>
      <c r="D134" s="43" t="n">
        <f aca="false">COUNTIF(Trades!$T$2:$T$556,B134)</f>
        <v>0</v>
      </c>
    </row>
    <row r="135" customFormat="false" ht="15" hidden="false" customHeight="true" outlineLevel="0" collapsed="false">
      <c r="B135" s="31" t="n">
        <v>42430</v>
      </c>
      <c r="C135" s="28" t="n">
        <f aca="false">SUMIF(Trades!$T$2:$T$556,B135,Trades!$P$2:$P$556)</f>
        <v>0</v>
      </c>
      <c r="D135" s="43" t="n">
        <f aca="false">COUNTIF(Trades!$T$2:$T$556,B135)</f>
        <v>0</v>
      </c>
    </row>
    <row r="136" customFormat="false" ht="15" hidden="false" customHeight="true" outlineLevel="0" collapsed="false">
      <c r="B136" s="31" t="n">
        <v>42461</v>
      </c>
      <c r="C136" s="28" t="n">
        <f aca="false">SUMIF(Trades!$T$2:$T$556,B136,Trades!$P$2:$P$556)</f>
        <v>0</v>
      </c>
      <c r="D136" s="43" t="n">
        <f aca="false">COUNTIF(Trades!$T$2:$T$556,B136)</f>
        <v>0</v>
      </c>
    </row>
    <row r="137" customFormat="false" ht="15" hidden="false" customHeight="true" outlineLevel="0" collapsed="false">
      <c r="B137" s="31" t="n">
        <v>42491</v>
      </c>
      <c r="C137" s="28" t="n">
        <f aca="false">SUMIF(Trades!$T$2:$T$556,B137,Trades!$P$2:$P$556)</f>
        <v>-0.0050445</v>
      </c>
      <c r="D137" s="43" t="n">
        <f aca="false">COUNTIF(Trades!$T$2:$T$556,B137)</f>
        <v>1</v>
      </c>
    </row>
    <row r="138" customFormat="false" ht="15" hidden="false" customHeight="true" outlineLevel="0" collapsed="false">
      <c r="B138" s="31" t="n">
        <v>42522</v>
      </c>
      <c r="C138" s="28" t="n">
        <f aca="false">SUMIF(Trades!$T$2:$T$556,B138,Trades!$P$2:$P$556)</f>
        <v>0.012018</v>
      </c>
      <c r="D138" s="43" t="n">
        <f aca="false">COUNTIF(Trades!$T$2:$T$556,B138)</f>
        <v>2</v>
      </c>
    </row>
    <row r="139" customFormat="false" ht="15" hidden="false" customHeight="true" outlineLevel="0" collapsed="false">
      <c r="B139" s="31" t="n">
        <v>42552</v>
      </c>
      <c r="C139" s="28" t="n">
        <f aca="false">SUMIF(Trades!$T$2:$T$556,B139,Trades!$P$2:$P$556)</f>
        <v>0</v>
      </c>
      <c r="D139" s="43" t="n">
        <f aca="false">COUNTIF(Trades!$T$2:$T$556,B139)</f>
        <v>0</v>
      </c>
    </row>
    <row r="140" customFormat="false" ht="15" hidden="false" customHeight="true" outlineLevel="0" collapsed="false">
      <c r="B140" s="31" t="n">
        <v>42583</v>
      </c>
      <c r="C140" s="28" t="n">
        <f aca="false">SUMIF(Trades!$T$2:$T$556,B140,Trades!$P$2:$P$556)</f>
        <v>0.0173225</v>
      </c>
      <c r="D140" s="43" t="n">
        <f aca="false">COUNTIF(Trades!$T$2:$T$556,B140)</f>
        <v>1</v>
      </c>
    </row>
    <row r="141" customFormat="false" ht="15" hidden="false" customHeight="true" outlineLevel="0" collapsed="false">
      <c r="B141" s="31" t="n">
        <v>42614</v>
      </c>
      <c r="C141" s="28" t="n">
        <f aca="false">SUMIF(Trades!$T$2:$T$556,B141,Trades!$P$2:$P$556)</f>
        <v>-0.005053</v>
      </c>
      <c r="D141" s="43" t="n">
        <f aca="false">COUNTIF(Trades!$T$2:$T$556,B141)</f>
        <v>1</v>
      </c>
    </row>
    <row r="142" customFormat="false" ht="15" hidden="false" customHeight="true" outlineLevel="0" collapsed="false">
      <c r="B142" s="31" t="n">
        <v>42644</v>
      </c>
      <c r="C142" s="28" t="n">
        <f aca="false">SUMIF(Trades!$T$2:$T$556,B142,Trades!$P$2:$P$556)</f>
        <v>0.00016</v>
      </c>
      <c r="D142" s="43" t="n">
        <f aca="false">COUNTIF(Trades!$T$2:$T$556,B142)</f>
        <v>1</v>
      </c>
    </row>
    <row r="143" customFormat="false" ht="15" hidden="false" customHeight="true" outlineLevel="0" collapsed="false">
      <c r="B143" s="31" t="n">
        <v>42675</v>
      </c>
      <c r="C143" s="28" t="n">
        <f aca="false">SUMIF(Trades!$T$2:$T$556,B143,Trades!$P$2:$P$556)</f>
        <v>0.0231175</v>
      </c>
      <c r="D143" s="43" t="n">
        <f aca="false">COUNTIF(Trades!$T$2:$T$556,B143)</f>
        <v>2</v>
      </c>
    </row>
    <row r="144" customFormat="false" ht="15" hidden="false" customHeight="true" outlineLevel="0" collapsed="false">
      <c r="B144" s="31" t="n">
        <v>42705</v>
      </c>
      <c r="C144" s="28" t="n">
        <f aca="false">SUMIF(Trades!$T$2:$T$556,B144,Trades!$P$2:$P$556)</f>
        <v>0</v>
      </c>
      <c r="D144" s="43" t="n">
        <f aca="false">COUNTIF(Trades!$T$2:$T$556,B144)</f>
        <v>0</v>
      </c>
    </row>
    <row r="145" customFormat="false" ht="15" hidden="false" customHeight="true" outlineLevel="0" collapsed="false">
      <c r="B145" s="31" t="n">
        <v>42736</v>
      </c>
      <c r="C145" s="28" t="n">
        <f aca="false">SUMIF(Trades!$T$2:$T$556,B145,Trades!$P$2:$P$556)</f>
        <v>0</v>
      </c>
      <c r="D145" s="43" t="n">
        <f aca="false">COUNTIF(Trades!$T$2:$T$556,B145)</f>
        <v>0</v>
      </c>
    </row>
    <row r="146" customFormat="false" ht="15" hidden="false" customHeight="true" outlineLevel="0" collapsed="false">
      <c r="B146" s="31" t="n">
        <v>42767</v>
      </c>
      <c r="C146" s="28" t="n">
        <f aca="false">SUMIF(Trades!$T$2:$T$556,B146,Trades!$P$2:$P$556)</f>
        <v>0</v>
      </c>
      <c r="D146" s="43" t="n">
        <f aca="false">COUNTIF(Trades!$T$2:$T$556,B146)</f>
        <v>0</v>
      </c>
    </row>
    <row r="147" customFormat="false" ht="15" hidden="false" customHeight="true" outlineLevel="0" collapsed="false">
      <c r="B147" s="31" t="n">
        <v>42795</v>
      </c>
      <c r="C147" s="28" t="n">
        <f aca="false">SUMIF(Trades!$T$2:$T$556,B147,Trades!$P$2:$P$556)</f>
        <v>-0.0048645</v>
      </c>
      <c r="D147" s="43" t="n">
        <f aca="false">COUNTIF(Trades!$T$2:$T$556,B147)</f>
        <v>2</v>
      </c>
    </row>
    <row r="148" customFormat="false" ht="15" hidden="false" customHeight="true" outlineLevel="0" collapsed="false">
      <c r="B148" s="31" t="n">
        <v>42826</v>
      </c>
      <c r="C148" s="28" t="n">
        <f aca="false">SUMIF(Trades!$T$2:$T$556,B148,Trades!$P$2:$P$556)</f>
        <v>-0.017698</v>
      </c>
      <c r="D148" s="43" t="n">
        <f aca="false">COUNTIF(Trades!$T$2:$T$556,B148)</f>
        <v>1</v>
      </c>
    </row>
    <row r="149" customFormat="false" ht="15" hidden="false" customHeight="true" outlineLevel="0" collapsed="false">
      <c r="B149" s="31" t="n">
        <v>42856</v>
      </c>
      <c r="C149" s="28" t="n">
        <f aca="false">SUMIF(Trades!$T$2:$T$556,B149,Trades!$P$2:$P$556)</f>
        <v>0</v>
      </c>
      <c r="D149" s="43" t="n">
        <f aca="false">COUNTIF(Trades!$T$2:$T$556,B149)</f>
        <v>0</v>
      </c>
    </row>
    <row r="150" customFormat="false" ht="15" hidden="false" customHeight="true" outlineLevel="0" collapsed="false">
      <c r="B150" s="31" t="n">
        <v>42887</v>
      </c>
      <c r="C150" s="28" t="n">
        <f aca="false">SUMIF(Trades!$T$2:$T$556,B150,Trades!$P$2:$P$556)</f>
        <v>0.0472575</v>
      </c>
      <c r="D150" s="43" t="n">
        <f aca="false">COUNTIF(Trades!$T$2:$T$556,B150)</f>
        <v>5</v>
      </c>
    </row>
    <row r="151" customFormat="false" ht="15" hidden="false" customHeight="true" outlineLevel="0" collapsed="false">
      <c r="B151" s="31" t="n">
        <v>42917</v>
      </c>
      <c r="C151" s="28" t="n">
        <f aca="false">SUMIF(Trades!$T$2:$T$556,B151,Trades!$P$2:$P$556)</f>
        <v>0</v>
      </c>
      <c r="D151" s="43" t="n">
        <f aca="false">COUNTIF(Trades!$T$2:$T$556,B151)</f>
        <v>0</v>
      </c>
    </row>
    <row r="152" customFormat="false" ht="15" hidden="false" customHeight="true" outlineLevel="0" collapsed="false">
      <c r="B152" s="31" t="n">
        <v>42948</v>
      </c>
      <c r="C152" s="28" t="n">
        <f aca="false">SUMIF(Trades!$T$2:$T$556,B152,Trades!$P$2:$P$556)</f>
        <v>0.0275535</v>
      </c>
      <c r="D152" s="43" t="n">
        <f aca="false">COUNTIF(Trades!$T$2:$T$556,B152)</f>
        <v>4</v>
      </c>
    </row>
    <row r="153" customFormat="false" ht="15" hidden="false" customHeight="true" outlineLevel="0" collapsed="false">
      <c r="B153" s="31" t="n">
        <v>42979</v>
      </c>
      <c r="C153" s="28" t="n">
        <f aca="false">SUMIF(Trades!$T$2:$T$556,B153,Trades!$P$2:$P$556)</f>
        <v>0.000457</v>
      </c>
      <c r="D153" s="43" t="n">
        <f aca="false">COUNTIF(Trades!$T$2:$T$556,B153)</f>
        <v>2</v>
      </c>
    </row>
    <row r="154" customFormat="false" ht="15" hidden="false" customHeight="true" outlineLevel="0" collapsed="false">
      <c r="B154" s="31" t="n">
        <v>43009</v>
      </c>
      <c r="C154" s="28" t="n">
        <f aca="false">SUMIF(Trades!$T$2:$T$556,B154,Trades!$P$2:$P$556)</f>
        <v>0</v>
      </c>
      <c r="D154" s="43" t="n">
        <f aca="false">COUNTIF(Trades!$T$2:$T$556,B154)</f>
        <v>0</v>
      </c>
    </row>
    <row r="155" customFormat="false" ht="15" hidden="false" customHeight="true" outlineLevel="0" collapsed="false">
      <c r="B155" s="31" t="n">
        <v>43040</v>
      </c>
      <c r="C155" s="28" t="n">
        <f aca="false">SUMIF(Trades!$T$2:$T$556,B155,Trades!$P$2:$P$556)</f>
        <v>-0.0145825</v>
      </c>
      <c r="D155" s="43" t="n">
        <f aca="false">COUNTIF(Trades!$T$2:$T$556,B155)</f>
        <v>6</v>
      </c>
    </row>
    <row r="156" customFormat="false" ht="15" hidden="false" customHeight="true" outlineLevel="0" collapsed="false">
      <c r="B156" s="31" t="n">
        <v>43070</v>
      </c>
      <c r="C156" s="28" t="n">
        <f aca="false">SUMIF(Trades!$T$2:$T$556,B156,Trades!$P$2:$P$556)</f>
        <v>0.00018</v>
      </c>
      <c r="D156" s="43" t="n">
        <f aca="false">COUNTIF(Trades!$T$2:$T$556,B156)</f>
        <v>1</v>
      </c>
    </row>
    <row r="157" customFormat="false" ht="15" hidden="false" customHeight="true" outlineLevel="0" collapsed="false">
      <c r="B157" s="31" t="n">
        <v>43101</v>
      </c>
      <c r="C157" s="28" t="n">
        <f aca="false">SUMIF(Trades!$T$2:$T$556,B157,Trades!$P$2:$P$556)</f>
        <v>-0.005085</v>
      </c>
      <c r="D157" s="43" t="n">
        <f aca="false">COUNTIF(Trades!$T$2:$T$556,B157)</f>
        <v>1</v>
      </c>
    </row>
    <row r="158" customFormat="false" ht="15" hidden="false" customHeight="true" outlineLevel="0" collapsed="false">
      <c r="B158" s="31" t="n">
        <v>43132</v>
      </c>
      <c r="C158" s="28" t="n">
        <f aca="false">SUMIF(Trades!$T$2:$T$556,B158,Trades!$P$2:$P$556)</f>
        <v>-0.024925</v>
      </c>
      <c r="D158" s="43" t="n">
        <f aca="false">COUNTIF(Trades!$T$2:$T$556,B158)</f>
        <v>7</v>
      </c>
    </row>
    <row r="159" customFormat="false" ht="15" hidden="false" customHeight="true" outlineLevel="0" collapsed="false">
      <c r="B159" s="31" t="n">
        <v>43160</v>
      </c>
      <c r="C159" s="28" t="n">
        <f aca="false">SUMIF(Trades!$T$2:$T$556,B159,Trades!$P$2:$P$556)</f>
        <v>0.011534</v>
      </c>
      <c r="D159" s="43" t="n">
        <f aca="false">COUNTIF(Trades!$T$2:$T$556,B159)</f>
        <v>3</v>
      </c>
    </row>
    <row r="160" customFormat="false" ht="15" hidden="false" customHeight="true" outlineLevel="0" collapsed="false">
      <c r="B160" s="31" t="n">
        <v>43191</v>
      </c>
      <c r="C160" s="28" t="n">
        <f aca="false">SUMIF(Trades!$T$2:$T$556,B160,Trades!$P$2:$P$556)</f>
        <v>0.008786</v>
      </c>
      <c r="D160" s="43" t="n">
        <f aca="false">COUNTIF(Trades!$T$2:$T$556,B160)</f>
        <v>4</v>
      </c>
    </row>
    <row r="161" customFormat="false" ht="15" hidden="false" customHeight="true" outlineLevel="0" collapsed="false">
      <c r="B161" s="31" t="n">
        <v>43221</v>
      </c>
      <c r="C161" s="28" t="n">
        <f aca="false">SUMIF(Trades!$T$2:$T$556,B161,Trades!$P$2:$P$556)</f>
        <v>0.0109325</v>
      </c>
      <c r="D161" s="43" t="n">
        <f aca="false">COUNTIF(Trades!$T$2:$T$556,B161)</f>
        <v>3</v>
      </c>
    </row>
    <row r="162" customFormat="false" ht="15" hidden="false" customHeight="true" outlineLevel="0" collapsed="false">
      <c r="B162" s="31" t="n">
        <v>43252</v>
      </c>
      <c r="C162" s="28" t="n">
        <f aca="false">SUMIF(Trades!$T$2:$T$556,B162,Trades!$P$2:$P$556)</f>
        <v>0.033384</v>
      </c>
      <c r="D162" s="43" t="n">
        <f aca="false">COUNTIF(Trades!$T$2:$T$556,B162)</f>
        <v>5</v>
      </c>
    </row>
    <row r="163" customFormat="false" ht="15" hidden="false" customHeight="true" outlineLevel="0" collapsed="false">
      <c r="B163" s="31" t="n">
        <v>43282</v>
      </c>
      <c r="C163" s="28" t="n">
        <f aca="false">SUMIF(Trades!$T$2:$T$556,B163,Trades!$P$2:$P$556)</f>
        <v>0.010255</v>
      </c>
      <c r="D163" s="43" t="n">
        <f aca="false">COUNTIF(Trades!$T$2:$T$556,B163)</f>
        <v>3</v>
      </c>
    </row>
    <row r="164" customFormat="false" ht="15" hidden="false" customHeight="true" outlineLevel="0" collapsed="false">
      <c r="B164" s="31" t="n">
        <v>43313</v>
      </c>
      <c r="C164" s="28" t="n">
        <f aca="false">SUMIF(Trades!$T$2:$T$556,B164,Trades!$P$2:$P$556)</f>
        <v>0</v>
      </c>
      <c r="D164" s="43" t="n">
        <f aca="false">COUNTIF(Trades!$T$2:$T$556,B164)</f>
        <v>0</v>
      </c>
    </row>
    <row r="165" customFormat="false" ht="15" hidden="false" customHeight="true" outlineLevel="0" collapsed="false">
      <c r="B165" s="31" t="n">
        <v>43344</v>
      </c>
      <c r="C165" s="28" t="n">
        <f aca="false">SUMIF(Trades!$T$2:$T$556,B165,Trades!$P$2:$P$556)</f>
        <v>-0.00507</v>
      </c>
      <c r="D165" s="43" t="n">
        <f aca="false">COUNTIF(Trades!$T$2:$T$556,B165)</f>
        <v>1</v>
      </c>
    </row>
    <row r="166" customFormat="false" ht="15" hidden="false" customHeight="true" outlineLevel="0" collapsed="false">
      <c r="B166" s="31" t="n">
        <v>43374</v>
      </c>
      <c r="C166" s="28" t="n">
        <f aca="false">SUMIF(Trades!$T$2:$T$556,B166,Trades!$P$2:$P$556)</f>
        <v>0.017123</v>
      </c>
      <c r="D166" s="43" t="n">
        <f aca="false">COUNTIF(Trades!$T$2:$T$556,B166)</f>
        <v>6</v>
      </c>
    </row>
    <row r="167" customFormat="false" ht="15" hidden="false" customHeight="true" outlineLevel="0" collapsed="false">
      <c r="B167" s="31" t="n">
        <v>43405</v>
      </c>
      <c r="C167" s="28" t="n">
        <f aca="false">SUMIF(Trades!$T$2:$T$556,B167,Trades!$P$2:$P$556)</f>
        <v>-0.0151915</v>
      </c>
      <c r="D167" s="43" t="n">
        <f aca="false">COUNTIF(Trades!$T$2:$T$556,B167)</f>
        <v>3</v>
      </c>
    </row>
    <row r="168" customFormat="false" ht="15" hidden="false" customHeight="true" outlineLevel="0" collapsed="false">
      <c r="B168" s="31" t="n">
        <v>43435</v>
      </c>
      <c r="C168" s="28" t="n">
        <f aca="false">SUMIF(Trades!$T$2:$T$556,B168,Trades!$P$2:$P$556)</f>
        <v>0.000202</v>
      </c>
      <c r="D168" s="43" t="n">
        <f aca="false">COUNTIF(Trades!$T$2:$T$556,B168)</f>
        <v>1</v>
      </c>
    </row>
    <row r="169" customFormat="false" ht="15" hidden="false" customHeight="true" outlineLevel="0" collapsed="false">
      <c r="B169" s="31" t="n">
        <v>43466</v>
      </c>
      <c r="C169" s="28" t="n">
        <f aca="false">SUMIF(Trades!$T$2:$T$556,B169,Trades!$P$2:$P$556)</f>
        <v>-0.0101135</v>
      </c>
      <c r="D169" s="43" t="n">
        <f aca="false">COUNTIF(Trades!$T$2:$T$556,B169)</f>
        <v>2</v>
      </c>
    </row>
    <row r="170" customFormat="false" ht="15" hidden="false" customHeight="true" outlineLevel="0" collapsed="false">
      <c r="B170" s="31" t="n">
        <v>43497</v>
      </c>
      <c r="C170" s="28" t="n">
        <f aca="false">SUMIF(Trades!$T$2:$T$556,B170,Trades!$P$2:$P$556)</f>
        <v>0.031016</v>
      </c>
      <c r="D170" s="43" t="n">
        <f aca="false">COUNTIF(Trades!$T$2:$T$556,B170)</f>
        <v>3</v>
      </c>
    </row>
    <row r="171" customFormat="false" ht="15" hidden="false" customHeight="true" outlineLevel="0" collapsed="false">
      <c r="B171" s="31" t="n">
        <v>43525</v>
      </c>
      <c r="C171" s="28" t="n">
        <f aca="false">SUMIF(Trades!$T$2:$T$556,B171,Trades!$P$2:$P$556)</f>
        <v>0.0067405</v>
      </c>
      <c r="D171" s="43" t="n">
        <f aca="false">COUNTIF(Trades!$T$2:$T$556,B171)</f>
        <v>4</v>
      </c>
    </row>
    <row r="172" customFormat="false" ht="15" hidden="false" customHeight="true" outlineLevel="0" collapsed="false">
      <c r="B172" s="31" t="n">
        <v>43556</v>
      </c>
      <c r="C172" s="28" t="n">
        <f aca="false">SUMIF(Trades!$T$2:$T$556,B172,Trades!$P$2:$P$556)</f>
        <v>0.0019305</v>
      </c>
      <c r="D172" s="43" t="n">
        <f aca="false">COUNTIF(Trades!$T$2:$T$556,B172)</f>
        <v>4</v>
      </c>
    </row>
    <row r="173" customFormat="false" ht="15" hidden="false" customHeight="true" outlineLevel="0" collapsed="false">
      <c r="B173" s="31" t="n">
        <v>43586</v>
      </c>
      <c r="C173" s="28" t="n">
        <f aca="false">SUMIF(Trades!$T$2:$T$556,B173,Trades!$P$2:$P$556)</f>
        <v>0.000254</v>
      </c>
      <c r="D173" s="43" t="n">
        <f aca="false">COUNTIF(Trades!$T$2:$T$556,B173)</f>
        <v>1</v>
      </c>
    </row>
    <row r="174" customFormat="false" ht="15" hidden="false" customHeight="true" outlineLevel="0" collapsed="false">
      <c r="B174" s="31" t="n">
        <v>43617</v>
      </c>
      <c r="C174" s="28" t="n">
        <f aca="false">SUMIF(Trades!$T$2:$T$556,B174,Trades!$P$2:$P$556)</f>
        <v>0</v>
      </c>
      <c r="D174" s="43" t="n">
        <f aca="false">COUNTIF(Trades!$T$2:$T$556,B174)</f>
        <v>0</v>
      </c>
    </row>
    <row r="175" customFormat="false" ht="15" hidden="false" customHeight="true" outlineLevel="0" collapsed="false">
      <c r="B175" s="31" t="n">
        <v>43647</v>
      </c>
      <c r="C175" s="28" t="n">
        <f aca="false">SUMIF(Trades!$T$2:$T$556,B175,Trades!$P$2:$P$556)</f>
        <v>0</v>
      </c>
      <c r="D175" s="43" t="n">
        <f aca="false">COUNTIF(Trades!$T$2:$T$556,B175)</f>
        <v>0</v>
      </c>
    </row>
    <row r="176" customFormat="false" ht="15" hidden="false" customHeight="true" outlineLevel="0" collapsed="false">
      <c r="B176" s="31" t="n">
        <v>43678</v>
      </c>
      <c r="C176" s="28" t="n">
        <f aca="false">SUMIF(Trades!$T$2:$T$556,B176,Trades!$P$2:$P$556)</f>
        <v>0</v>
      </c>
      <c r="D176" s="43" t="n">
        <f aca="false">COUNTIF(Trades!$T$2:$T$556,B176)</f>
        <v>0</v>
      </c>
    </row>
    <row r="177" customFormat="false" ht="15" hidden="false" customHeight="true" outlineLevel="0" collapsed="false">
      <c r="B177" s="31" t="n">
        <v>43709</v>
      </c>
      <c r="C177" s="28" t="n">
        <f aca="false">SUMIF(Trades!$T$2:$T$556,B177,Trades!$P$2:$P$556)</f>
        <v>0</v>
      </c>
      <c r="D177" s="43" t="n">
        <f aca="false">COUNTIF(Trades!$T$2:$T$556,B177)</f>
        <v>0</v>
      </c>
    </row>
    <row r="178" customFormat="false" ht="15" hidden="false" customHeight="true" outlineLevel="0" collapsed="false">
      <c r="B178" s="31" t="n">
        <v>43739</v>
      </c>
      <c r="C178" s="28" t="n">
        <f aca="false">SUMIF(Trades!$T$2:$T$556,B178,Trades!$P$2:$P$556)</f>
        <v>0.019153</v>
      </c>
      <c r="D178" s="43" t="n">
        <f aca="false">COUNTIF(Trades!$T$2:$T$556,B178)</f>
        <v>1</v>
      </c>
    </row>
    <row r="179" customFormat="false" ht="15" hidden="false" customHeight="true" outlineLevel="0" collapsed="false">
      <c r="B179" s="31" t="n">
        <v>43770</v>
      </c>
      <c r="C179" s="28" t="n">
        <f aca="false">SUMIF(Trades!$T$2:$T$556,B179,Trades!$P$2:$P$556)</f>
        <v>0.0005135</v>
      </c>
      <c r="D179" s="43" t="n">
        <f aca="false">COUNTIF(Trades!$T$2:$T$556,B179)</f>
        <v>2</v>
      </c>
    </row>
    <row r="180" customFormat="false" ht="15" hidden="false" customHeight="true" outlineLevel="0" collapsed="false">
      <c r="B180" s="31" t="n">
        <v>43800</v>
      </c>
      <c r="C180" s="28" t="n">
        <f aca="false">SUMIF(Trades!$T$2:$T$556,B180,Trades!$P$2:$P$556)</f>
        <v>0.0002715</v>
      </c>
      <c r="D180" s="43" t="n">
        <f aca="false">COUNTIF(Trades!$T$2:$T$556,B180)</f>
        <v>1</v>
      </c>
    </row>
    <row r="181" customFormat="false" ht="15" hidden="false" customHeight="true" outlineLevel="0" collapsed="false">
      <c r="B181" s="31" t="n">
        <v>43831</v>
      </c>
      <c r="C181" s="28" t="n">
        <f aca="false">SUMIF(Trades!$T$2:$T$556,B181,Trades!$P$2:$P$556)</f>
        <v>0.0233755</v>
      </c>
      <c r="D181" s="43" t="n">
        <f aca="false">COUNTIF(Trades!$T$2:$T$556,B181)</f>
        <v>2</v>
      </c>
    </row>
    <row r="182" customFormat="false" ht="15" hidden="false" customHeight="true" outlineLevel="0" collapsed="false">
      <c r="B182" s="31" t="n">
        <v>43862</v>
      </c>
      <c r="C182" s="28" t="n">
        <f aca="false">SUMIF(Trades!$T$2:$T$556,B182,Trades!$P$2:$P$556)</f>
        <v>-0.005489</v>
      </c>
      <c r="D182" s="43" t="n">
        <f aca="false">COUNTIF(Trades!$T$2:$T$556,B182)</f>
        <v>2</v>
      </c>
    </row>
    <row r="183" customFormat="false" ht="15" hidden="false" customHeight="true" outlineLevel="0" collapsed="false">
      <c r="B183" s="31" t="n">
        <v>43891</v>
      </c>
      <c r="C183" s="28" t="n">
        <f aca="false">SUMIF(Trades!$T$2:$T$556,B183,Trades!$P$2:$P$556)</f>
        <v>0.0207435</v>
      </c>
      <c r="D183" s="43" t="n">
        <f aca="false">COUNTIF(Trades!$T$2:$T$556,B183)</f>
        <v>3</v>
      </c>
    </row>
    <row r="184" customFormat="false" ht="15" hidden="false" customHeight="true" outlineLevel="0" collapsed="false">
      <c r="B184" s="31" t="n">
        <v>43922</v>
      </c>
      <c r="C184" s="28" t="n">
        <f aca="false">SUMIF(Trades!$T$2:$T$556,B184,Trades!$P$2:$P$556)</f>
        <v>0.0001225</v>
      </c>
      <c r="D184" s="43" t="n">
        <f aca="false">COUNTIF(Trades!$T$2:$T$556,B184)</f>
        <v>1</v>
      </c>
    </row>
    <row r="185" customFormat="false" ht="15" hidden="false" customHeight="true" outlineLevel="0" collapsed="false">
      <c r="B185" s="31" t="n">
        <v>43952</v>
      </c>
      <c r="C185" s="28" t="n">
        <f aca="false">SUMIF(Trades!$T$2:$T$556,B185,Trades!$P$2:$P$556)</f>
        <v>0.0002</v>
      </c>
      <c r="D185" s="43" t="n">
        <f aca="false">COUNTIF(Trades!$T$2:$T$556,B185)</f>
        <v>1</v>
      </c>
    </row>
    <row r="186" customFormat="false" ht="15" hidden="false" customHeight="true" outlineLevel="0" collapsed="false">
      <c r="B186" s="31" t="n">
        <v>43983</v>
      </c>
      <c r="C186" s="28" t="n">
        <f aca="false">SUMIF(Trades!$T$2:$T$556,B186,Trades!$P$2:$P$556)</f>
        <v>0.010385</v>
      </c>
      <c r="D186" s="43" t="n">
        <f aca="false">COUNTIF(Trades!$T$2:$T$556,B186)</f>
        <v>3</v>
      </c>
    </row>
    <row r="187" customFormat="false" ht="15" hidden="false" customHeight="true" outlineLevel="0" collapsed="false">
      <c r="B187" s="31" t="n">
        <v>44013</v>
      </c>
      <c r="C187" s="28" t="n">
        <f aca="false">SUMIF(Trades!$T$2:$T$556,B187,Trades!$P$2:$P$556)</f>
        <v>0.0375795</v>
      </c>
      <c r="D187" s="43" t="n">
        <f aca="false">COUNTIF(Trades!$T$2:$T$556,B187)</f>
        <v>8</v>
      </c>
    </row>
    <row r="188" customFormat="false" ht="15" hidden="false" customHeight="true" outlineLevel="0" collapsed="false">
      <c r="B188" s="31" t="n">
        <v>44044</v>
      </c>
      <c r="C188" s="28" t="n">
        <f aca="false">SUMIF(Trades!$T$2:$T$556,B188,Trades!$P$2:$P$556)</f>
        <v>-0.009645</v>
      </c>
      <c r="D188" s="43" t="n">
        <f aca="false">COUNTIF(Trades!$T$2:$T$556,B188)</f>
        <v>4</v>
      </c>
    </row>
    <row r="189" customFormat="false" ht="15" hidden="false" customHeight="true" outlineLevel="0" collapsed="false">
      <c r="B189" s="31" t="n">
        <v>44075</v>
      </c>
      <c r="C189" s="28" t="n">
        <f aca="false">SUMIF(Trades!$T$2:$T$556,B189,Trades!$P$2:$P$556)</f>
        <v>-0.0198505</v>
      </c>
      <c r="D189" s="43" t="n">
        <f aca="false">COUNTIF(Trades!$T$2:$T$556,B189)</f>
        <v>6</v>
      </c>
    </row>
    <row r="190" customFormat="false" ht="15" hidden="false" customHeight="true" outlineLevel="0" collapsed="false">
      <c r="B190" s="31" t="n">
        <v>44105</v>
      </c>
      <c r="C190" s="28" t="n">
        <f aca="false">SUMIF(Trades!$T$2:$T$556,B190,Trades!$P$2:$P$556)</f>
        <v>0.015673</v>
      </c>
      <c r="D190" s="43" t="n">
        <f aca="false">COUNTIF(Trades!$T$2:$T$556,B190)</f>
        <v>3</v>
      </c>
    </row>
    <row r="191" customFormat="false" ht="15" hidden="false" customHeight="true" outlineLevel="0" collapsed="false">
      <c r="B191" s="31" t="n">
        <v>44136</v>
      </c>
      <c r="C191" s="28" t="n">
        <f aca="false">SUMIF(Trades!$T$2:$T$556,B191,Trades!$P$2:$P$556)</f>
        <v>0.0498245</v>
      </c>
      <c r="D191" s="43" t="n">
        <f aca="false">COUNTIF(Trades!$T$2:$T$556,B191)</f>
        <v>4</v>
      </c>
    </row>
    <row r="192" customFormat="false" ht="15" hidden="false" customHeight="true" outlineLevel="0" collapsed="false">
      <c r="B192" s="31" t="n">
        <v>44166</v>
      </c>
      <c r="C192" s="28" t="n">
        <f aca="false">SUMIF(Trades!$T$2:$T$556,B192,Trades!$P$2:$P$556)</f>
        <v>-0.002598</v>
      </c>
      <c r="D192" s="43" t="n">
        <f aca="false">COUNTIF(Trades!$T$2:$T$556,B192)</f>
        <v>5</v>
      </c>
    </row>
    <row r="193" customFormat="false" ht="15" hidden="false" customHeight="true" outlineLevel="0" collapsed="false">
      <c r="B193" s="31" t="n">
        <v>44197</v>
      </c>
      <c r="C193" s="28" t="n">
        <f aca="false">SUMIF(Trades!$T$2:$T$556,B193,Trades!$P$2:$P$556)</f>
        <v>0.01303</v>
      </c>
      <c r="D193" s="43" t="n">
        <f aca="false">COUNTIF(Trades!$T$2:$T$556,B193)</f>
        <v>3</v>
      </c>
    </row>
    <row r="194" customFormat="false" ht="15" hidden="false" customHeight="true" outlineLevel="0" collapsed="false">
      <c r="B194" s="31" t="n">
        <v>44228</v>
      </c>
      <c r="C194" s="28" t="n">
        <f aca="false">SUMIF(Trades!$T$2:$T$556,B194,Trades!$P$2:$P$556)</f>
        <v>0</v>
      </c>
      <c r="D194" s="43" t="n">
        <f aca="false">COUNTIF(Trades!$T$2:$T$556,B194)</f>
        <v>0</v>
      </c>
    </row>
    <row r="195" customFormat="false" ht="15" hidden="false" customHeight="true" outlineLevel="0" collapsed="false">
      <c r="B195" s="31" t="n">
        <v>44256</v>
      </c>
      <c r="C195" s="28" t="n">
        <f aca="false">SUMIF(Trades!$T$2:$T$556,B195,Trades!$P$2:$P$556)</f>
        <v>0</v>
      </c>
      <c r="D195" s="43" t="n">
        <f aca="false">COUNTIF(Trades!$T$2:$T$556,B195)</f>
        <v>0</v>
      </c>
    </row>
    <row r="196" customFormat="false" ht="15" hidden="false" customHeight="true" outlineLevel="0" collapsed="false">
      <c r="B196" s="31" t="n">
        <v>44287</v>
      </c>
      <c r="C196" s="28" t="n">
        <f aca="false">SUMIF(Trades!$T$2:$T$556,B196,Trades!$P$2:$P$556)</f>
        <v>0</v>
      </c>
      <c r="D196" s="43" t="n">
        <f aca="false">COUNTIF(Trades!$T$2:$T$556,B196)</f>
        <v>0</v>
      </c>
    </row>
    <row r="197" customFormat="false" ht="15" hidden="false" customHeight="true" outlineLevel="0" collapsed="false">
      <c r="B197" s="31" t="n">
        <v>44317</v>
      </c>
      <c r="C197" s="28" t="n">
        <f aca="false">SUMIF(Trades!$T$2:$T$556,B197,Trades!$P$2:$P$556)</f>
        <v>0.0002695</v>
      </c>
      <c r="D197" s="43" t="n">
        <f aca="false">COUNTIF(Trades!$T$2:$T$556,B197)</f>
        <v>2</v>
      </c>
    </row>
    <row r="198" customFormat="false" ht="15" hidden="false" customHeight="true" outlineLevel="0" collapsed="false">
      <c r="B198" s="31" t="n">
        <v>44348</v>
      </c>
      <c r="C198" s="28" t="n">
        <f aca="false">SUMIF(Trades!$T$2:$T$556,B198,Trades!$P$2:$P$556)</f>
        <v>0</v>
      </c>
      <c r="D198" s="43" t="n">
        <f aca="false">COUNTIF(Trades!$T$2:$T$556,B198)</f>
        <v>0</v>
      </c>
    </row>
    <row r="199" customFormat="false" ht="15" hidden="false" customHeight="true" outlineLevel="0" collapsed="false">
      <c r="B199" s="31" t="n">
        <v>44378</v>
      </c>
      <c r="C199" s="28" t="n">
        <f aca="false">SUMIF(Trades!$T$2:$T$556,B199,Trades!$P$2:$P$556)</f>
        <v>-0.004845</v>
      </c>
      <c r="D199" s="43" t="n">
        <f aca="false">COUNTIF(Trades!$T$2:$T$556,B199)</f>
        <v>2</v>
      </c>
    </row>
    <row r="200" customFormat="false" ht="15" hidden="false" customHeight="true" outlineLevel="0" collapsed="false">
      <c r="B200" s="31" t="n">
        <v>44409</v>
      </c>
      <c r="C200" s="28" t="n">
        <f aca="false">SUMIF(Trades!$T$2:$T$556,B200,Trades!$P$2:$P$556)</f>
        <v>-0.0046185</v>
      </c>
      <c r="D200" s="43" t="n">
        <f aca="false">COUNTIF(Trades!$T$2:$T$556,B200)</f>
        <v>3</v>
      </c>
    </row>
    <row r="201" customFormat="false" ht="15" hidden="false" customHeight="true" outlineLevel="0" collapsed="false">
      <c r="B201" s="31" t="n">
        <v>44440</v>
      </c>
      <c r="C201" s="28" t="n">
        <f aca="false">SUMIF(Trades!$T$2:$T$556,B201,Trades!$P$2:$P$556)</f>
        <v>0.007882</v>
      </c>
      <c r="D201" s="43" t="n">
        <f aca="false">COUNTIF(Trades!$T$2:$T$556,B201)</f>
        <v>5</v>
      </c>
    </row>
    <row r="202" customFormat="false" ht="15" hidden="false" customHeight="true" outlineLevel="0" collapsed="false">
      <c r="B202" s="31" t="n">
        <v>44470</v>
      </c>
      <c r="C202" s="28" t="n">
        <f aca="false">SUMIF(Trades!$T$2:$T$556,B202,Trades!$P$2:$P$556)</f>
        <v>0.018888</v>
      </c>
      <c r="D202" s="43" t="n">
        <f aca="false">COUNTIF(Trades!$T$2:$T$556,B202)</f>
        <v>1</v>
      </c>
    </row>
    <row r="203" customFormat="false" ht="15" hidden="false" customHeight="true" outlineLevel="0" collapsed="false">
      <c r="B203" s="31" t="n">
        <v>44501</v>
      </c>
      <c r="C203" s="28" t="n">
        <f aca="false">SUMIF(Trades!$T$2:$T$556,B203,Trades!$P$2:$P$556)</f>
        <v>-0.0048465</v>
      </c>
      <c r="D203" s="43" t="n">
        <f aca="false">COUNTIF(Trades!$T$2:$T$556,B203)</f>
        <v>2</v>
      </c>
    </row>
    <row r="204" customFormat="false" ht="15" hidden="false" customHeight="true" outlineLevel="0" collapsed="false">
      <c r="B204" s="31" t="n">
        <v>44531</v>
      </c>
      <c r="C204" s="28" t="n">
        <f aca="false">SUMIF(Trades!$T$2:$T$556,B204,Trades!$P$2:$P$556)</f>
        <v>0.0267535</v>
      </c>
      <c r="D204" s="43" t="n">
        <f aca="false">COUNTIF(Trades!$T$2:$T$556,B204)</f>
        <v>4</v>
      </c>
    </row>
    <row r="205" customFormat="false" ht="15" hidden="false" customHeight="true" outlineLevel="0" collapsed="false">
      <c r="B205" s="31" t="n">
        <v>44562</v>
      </c>
      <c r="C205" s="28" t="n">
        <f aca="false">SUMIF(Trades!$T$2:$T$556,B205,Trades!$P$2:$P$556)</f>
        <v>0</v>
      </c>
      <c r="D205" s="43" t="n">
        <f aca="false">COUNTIF(Trades!$T$2:$T$556,B205)</f>
        <v>0</v>
      </c>
    </row>
    <row r="206" customFormat="false" ht="15" hidden="false" customHeight="true" outlineLevel="0" collapsed="false">
      <c r="B206" s="31" t="n">
        <v>44593</v>
      </c>
      <c r="C206" s="28" t="n">
        <f aca="false">SUMIF(Trades!$T$2:$T$556,B206,Trades!$P$2:$P$556)</f>
        <v>0.0002335</v>
      </c>
      <c r="D206" s="43" t="n">
        <f aca="false">COUNTIF(Trades!$T$2:$T$556,B206)</f>
        <v>1</v>
      </c>
    </row>
    <row r="207" customFormat="false" ht="15" hidden="false" customHeight="true" outlineLevel="0" collapsed="false">
      <c r="B207" s="31" t="n">
        <v>44621</v>
      </c>
      <c r="C207" s="28" t="n">
        <f aca="false">SUMIF(Trades!$T$2:$T$556,B207,Trades!$P$2:$P$556)</f>
        <v>-0.010142</v>
      </c>
      <c r="D207" s="43" t="n">
        <f aca="false">COUNTIF(Trades!$T$2:$T$556,B207)</f>
        <v>2</v>
      </c>
    </row>
    <row r="208" customFormat="false" ht="15" hidden="false" customHeight="true" outlineLevel="0" collapsed="false">
      <c r="B208" s="31" t="n">
        <v>44652</v>
      </c>
      <c r="C208" s="28" t="n">
        <f aca="false">SUMIF(Trades!$T$2:$T$556,B208,Trades!$P$2:$P$556)</f>
        <v>0</v>
      </c>
      <c r="D208" s="43" t="n">
        <f aca="false">COUNTIF(Trades!$T$2:$T$556,B208)</f>
        <v>0</v>
      </c>
    </row>
    <row r="209" customFormat="false" ht="15" hidden="false" customHeight="true" outlineLevel="0" collapsed="false">
      <c r="B209" s="31" t="n">
        <v>44682</v>
      </c>
      <c r="C209" s="28" t="n">
        <f aca="false">SUMIF(Trades!$T$2:$T$556,B209,Trades!$P$2:$P$556)</f>
        <v>-0.005046</v>
      </c>
      <c r="D209" s="43" t="n">
        <f aca="false">COUNTIF(Trades!$T$2:$T$556,B209)</f>
        <v>1</v>
      </c>
    </row>
    <row r="210" customFormat="false" ht="15" hidden="false" customHeight="true" outlineLevel="0" collapsed="false">
      <c r="B210" s="31" t="n">
        <v>44713</v>
      </c>
      <c r="C210" s="28" t="n">
        <f aca="false">SUMIF(Trades!$T$2:$T$556,B210,Trades!$P$2:$P$556)</f>
        <v>0</v>
      </c>
      <c r="D210" s="43" t="n">
        <f aca="false">COUNTIF(Trades!$T$2:$T$556,B210)</f>
        <v>0</v>
      </c>
    </row>
    <row r="211" customFormat="false" ht="15" hidden="false" customHeight="true" outlineLevel="0" collapsed="false">
      <c r="B211" s="31" t="n">
        <v>44743</v>
      </c>
      <c r="C211" s="28" t="n">
        <f aca="false">SUMIF(Trades!$T$2:$T$556,B211,Trades!$P$2:$P$556)</f>
        <v>0.0107535</v>
      </c>
      <c r="D211" s="43" t="n">
        <f aca="false">COUNTIF(Trades!$T$2:$T$556,B211)</f>
        <v>2</v>
      </c>
    </row>
    <row r="212" customFormat="false" ht="15" hidden="false" customHeight="true" outlineLevel="0" collapsed="false">
      <c r="B212" s="31" t="n">
        <v>44774</v>
      </c>
      <c r="C212" s="28" t="n">
        <f aca="false">SUMIF(Trades!$T$2:$T$556,B212,Trades!$P$2:$P$556)</f>
        <v>-0.0251175</v>
      </c>
      <c r="D212" s="43" t="n">
        <f aca="false">COUNTIF(Trades!$T$2:$T$556,B212)</f>
        <v>6</v>
      </c>
    </row>
    <row r="213" customFormat="false" ht="15" hidden="false" customHeight="true" outlineLevel="0" collapsed="false">
      <c r="B213" s="31" t="n">
        <v>44805</v>
      </c>
      <c r="C213" s="28" t="n">
        <f aca="false">SUMIF(Trades!$T$2:$T$556,B213,Trades!$P$2:$P$556)</f>
        <v>0.000346</v>
      </c>
      <c r="D213" s="43" t="n">
        <f aca="false">COUNTIF(Trades!$T$2:$T$556,B213)</f>
        <v>2</v>
      </c>
    </row>
    <row r="214" customFormat="false" ht="15" hidden="false" customHeight="true" outlineLevel="0" collapsed="false">
      <c r="B214" s="31" t="n">
        <v>44835</v>
      </c>
      <c r="C214" s="28" t="n">
        <f aca="false">SUMIF(Trades!$T$2:$T$556,B214,Trades!$P$2:$P$556)</f>
        <v>-0.005032</v>
      </c>
      <c r="D214" s="43" t="n">
        <f aca="false">COUNTIF(Trades!$T$2:$T$556,B214)</f>
        <v>1</v>
      </c>
    </row>
    <row r="215" customFormat="false" ht="15" hidden="false" customHeight="true" outlineLevel="0" collapsed="false">
      <c r="B215" s="31" t="n">
        <v>44866</v>
      </c>
      <c r="C215" s="28" t="n">
        <f aca="false">SUMIF(Trades!$T$2:$T$556,B215,Trades!$P$2:$P$556)</f>
        <v>0.0068925</v>
      </c>
      <c r="D215" s="43" t="n">
        <f aca="false">COUNTIF(Trades!$T$2:$T$556,B215)</f>
        <v>4</v>
      </c>
    </row>
    <row r="216" customFormat="false" ht="15" hidden="false" customHeight="true" outlineLevel="0" collapsed="false">
      <c r="B216" s="31" t="n">
        <v>44896</v>
      </c>
      <c r="C216" s="28" t="n">
        <f aca="false">SUMIF(Trades!$T$2:$T$556,B216,Trades!$P$2:$P$556)</f>
        <v>0.0111285</v>
      </c>
      <c r="D216" s="43" t="n">
        <f aca="false">COUNTIF(Trades!$T$2:$T$556,B216)</f>
        <v>2</v>
      </c>
    </row>
    <row r="217" customFormat="false" ht="15" hidden="false" customHeight="true" outlineLevel="0" collapsed="false">
      <c r="B217" s="31" t="n">
        <v>44927</v>
      </c>
      <c r="C217" s="28" t="n">
        <f aca="false">SUMIF(Trades!$T$2:$T$556,B217,Trades!$P$2:$P$556)</f>
        <v>-0.010092</v>
      </c>
      <c r="D217" s="43" t="n">
        <f aca="false">COUNTIF(Trades!$T$2:$T$556,B217)</f>
        <v>2</v>
      </c>
    </row>
    <row r="218" customFormat="false" ht="15" hidden="false" customHeight="true" outlineLevel="0" collapsed="false">
      <c r="B218" s="31" t="n">
        <v>44958</v>
      </c>
      <c r="C218" s="28" t="n">
        <f aca="false">SUMIF(Trades!$T$2:$T$556,B218,Trades!$P$2:$P$556)</f>
        <v>0.00747</v>
      </c>
      <c r="D218" s="43" t="n">
        <f aca="false">COUNTIF(Trades!$T$2:$T$556,B218)</f>
        <v>4</v>
      </c>
    </row>
    <row r="219" customFormat="false" ht="15" hidden="false" customHeight="true" outlineLevel="0" collapsed="false">
      <c r="B219" s="31" t="n">
        <v>44986</v>
      </c>
      <c r="C219" s="28" t="n">
        <f aca="false">SUMIF(Trades!$T$2:$T$556,B219,Trades!$P$2:$P$556)</f>
        <v>0.0173735</v>
      </c>
      <c r="D219" s="43" t="n">
        <f aca="false">COUNTIF(Trades!$T$2:$T$556,B219)</f>
        <v>4</v>
      </c>
    </row>
    <row r="220" customFormat="false" ht="15" hidden="false" customHeight="true" outlineLevel="0" collapsed="false">
      <c r="B220" s="31" t="n">
        <v>45017</v>
      </c>
      <c r="C220" s="28" t="n">
        <f aca="false">SUMIF(Trades!$T$2:$T$556,B220,Trades!$P$2:$P$556)</f>
        <v>0.0181245</v>
      </c>
      <c r="D220" s="43" t="n">
        <f aca="false">COUNTIF(Trades!$T$2:$T$556,B220)</f>
        <v>2</v>
      </c>
    </row>
    <row r="221" customFormat="false" ht="15" hidden="false" customHeight="true" outlineLevel="0" collapsed="false">
      <c r="B221" s="31" t="n">
        <v>45047</v>
      </c>
      <c r="C221" s="28" t="n">
        <f aca="false">SUMIF(Trades!$T$2:$T$556,B221,Trades!$P$2:$P$556)</f>
        <v>-0.004894</v>
      </c>
      <c r="D221" s="43" t="n">
        <f aca="false">COUNTIF(Trades!$T$2:$T$556,B221)</f>
        <v>2</v>
      </c>
    </row>
    <row r="222" customFormat="false" ht="15" hidden="false" customHeight="true" outlineLevel="0" collapsed="false">
      <c r="B222" s="31" t="n">
        <v>45078</v>
      </c>
      <c r="C222" s="28" t="n">
        <f aca="false">SUMIF(Trades!$T$2:$T$556,B222,Trades!$P$2:$P$556)</f>
        <v>0</v>
      </c>
      <c r="D222" s="43" t="n">
        <f aca="false">COUNTIF(Trades!$T$2:$T$556,B222)</f>
        <v>0</v>
      </c>
    </row>
    <row r="223" customFormat="false" ht="15" hidden="false" customHeight="true" outlineLevel="0" collapsed="false">
      <c r="B223" s="31" t="n">
        <v>45108</v>
      </c>
      <c r="C223" s="28" t="n">
        <f aca="false">SUMIF(Trades!$T$2:$T$556,B223,Trades!$P$2:$P$556)</f>
        <v>0</v>
      </c>
      <c r="D223" s="43" t="n">
        <f aca="false">COUNTIF(Trades!$T$2:$T$556,B223)</f>
        <v>0</v>
      </c>
    </row>
    <row r="224" customFormat="false" ht="15" hidden="false" customHeight="true" outlineLevel="0" collapsed="false">
      <c r="B224" s="31" t="n">
        <v>45139</v>
      </c>
      <c r="C224" s="28" t="n">
        <f aca="false">SUMIF(Trades!$T$2:$T$556,B224,Trades!$P$2:$P$556)</f>
        <v>0</v>
      </c>
      <c r="D224" s="43" t="n">
        <f aca="false">COUNTIF(Trades!$T$2:$T$556,B224)</f>
        <v>0</v>
      </c>
    </row>
    <row r="225" customFormat="false" ht="15" hidden="false" customHeight="true" outlineLevel="0" collapsed="false">
      <c r="B225" s="31" t="n">
        <v>45170</v>
      </c>
      <c r="C225" s="28" t="n">
        <f aca="false">SUMIF(Trades!$T$2:$T$556,B225,Trades!$P$2:$P$556)</f>
        <v>-0.0095535</v>
      </c>
      <c r="D225" s="43" t="n">
        <f aca="false">COUNTIF(Trades!$T$2:$T$556,B225)</f>
        <v>5</v>
      </c>
    </row>
    <row r="226" customFormat="false" ht="15" hidden="false" customHeight="true" outlineLevel="0" collapsed="false">
      <c r="B226" s="31" t="n">
        <v>45200</v>
      </c>
      <c r="C226" s="28" t="n">
        <f aca="false">SUMIF(Trades!$T$2:$T$556,B226,Trades!$P$2:$P$556)</f>
        <v>-0.0196635</v>
      </c>
      <c r="D226" s="43" t="n">
        <f aca="false">COUNTIF(Trades!$T$2:$T$556,B226)</f>
        <v>7</v>
      </c>
    </row>
    <row r="227" customFormat="false" ht="15" hidden="false" customHeight="true" outlineLevel="0" collapsed="false">
      <c r="B227" s="31" t="n">
        <v>45231</v>
      </c>
      <c r="C227" s="28" t="n">
        <f aca="false">SUMIF(Trades!$T$2:$T$556,B227,Trades!$P$2:$P$556)</f>
        <v>0.0181315</v>
      </c>
      <c r="D227" s="43" t="n">
        <f aca="false">COUNTIF(Trades!$T$2:$T$556,B227)</f>
        <v>2</v>
      </c>
    </row>
    <row r="228" customFormat="false" ht="15" hidden="false" customHeight="true" outlineLevel="0" collapsed="false">
      <c r="B228" s="31" t="n">
        <v>45261</v>
      </c>
      <c r="C228" s="28" t="n">
        <f aca="false">SUMIF(Trades!$T$2:$T$556,B228,Trades!$P$2:$P$556)</f>
        <v>-0.020219</v>
      </c>
      <c r="D228" s="43" t="n">
        <f aca="false">COUNTIF(Trades!$T$2:$T$556,B228)</f>
        <v>4</v>
      </c>
    </row>
    <row r="229" customFormat="false" ht="15" hidden="false" customHeight="true" outlineLevel="0" collapsed="false">
      <c r="B229" s="31" t="n">
        <v>45292</v>
      </c>
      <c r="C229" s="28" t="n">
        <f aca="false">SUMIF(Trades!$T$2:$T$556,B229,Trades!$P$2:$P$556)</f>
        <v>0.050505</v>
      </c>
      <c r="D229" s="43" t="n">
        <f aca="false">COUNTIF(Trades!$T$2:$T$556,B229)</f>
        <v>5</v>
      </c>
    </row>
    <row r="230" customFormat="false" ht="15" hidden="false" customHeight="true" outlineLevel="0" collapsed="false">
      <c r="B230" s="31" t="n">
        <v>45323</v>
      </c>
      <c r="C230" s="28" t="n">
        <f aca="false">SUMIF(Trades!$T$2:$T$556,B230,Trades!$P$2:$P$556)</f>
        <v>0.015665</v>
      </c>
      <c r="D230" s="43" t="n">
        <f aca="false">COUNTIF(Trades!$T$2:$T$556,B230)</f>
        <v>1</v>
      </c>
    </row>
    <row r="231" customFormat="false" ht="15" hidden="false" customHeight="true" outlineLevel="0" collapsed="false">
      <c r="B231" s="31" t="n">
        <v>45352</v>
      </c>
      <c r="C231" s="28" t="n">
        <f aca="false">SUMIF(Trades!$T$2:$T$556,B231,Trades!$P$2:$P$556)</f>
        <v>0</v>
      </c>
      <c r="D231" s="43" t="n">
        <f aca="false">COUNTIF(Trades!$T$2:$T$556,B231)</f>
        <v>0</v>
      </c>
    </row>
    <row r="232" customFormat="false" ht="15" hidden="false" customHeight="true" outlineLevel="0" collapsed="false">
      <c r="B232" s="31" t="n">
        <v>45383</v>
      </c>
      <c r="C232" s="28" t="n">
        <f aca="false">SUMIF(Trades!$T$2:$T$556,B232,Trades!$P$2:$P$556)</f>
        <v>0.0079675</v>
      </c>
      <c r="D232" s="43" t="n">
        <f aca="false">COUNTIF(Trades!$T$2:$T$556,B232)</f>
        <v>5</v>
      </c>
    </row>
    <row r="233" customFormat="false" ht="15" hidden="false" customHeight="true" outlineLevel="0" collapsed="false">
      <c r="B233" s="31" t="n">
        <v>45413</v>
      </c>
      <c r="C233" s="28" t="n">
        <f aca="false">SUMIF(Trades!$T$2:$T$556,B233,Trades!$P$2:$P$556)</f>
        <v>0</v>
      </c>
      <c r="D233" s="43" t="n">
        <f aca="false">COUNTIF(Trades!$T$2:$T$556,B233)</f>
        <v>0</v>
      </c>
    </row>
    <row r="234" customFormat="false" ht="15" hidden="false" customHeight="true" outlineLevel="0" collapsed="false">
      <c r="B234" s="31" t="n">
        <v>45444</v>
      </c>
      <c r="C234" s="28" t="n">
        <f aca="false">SUMIF(Trades!$T$2:$T$556,B234,Trades!$P$2:$P$556)</f>
        <v>0</v>
      </c>
      <c r="D234" s="43" t="n">
        <f aca="false">COUNTIF(Trades!$T$2:$T$556,B234)</f>
        <v>0</v>
      </c>
    </row>
    <row r="235" customFormat="false" ht="15" hidden="false" customHeight="true" outlineLevel="0" collapsed="false">
      <c r="B235" s="31" t="n">
        <v>45474</v>
      </c>
      <c r="C235" s="28" t="n">
        <f aca="false">SUMIF(Trades!$T$2:$T$556,B235,Trades!$P$2:$P$556)</f>
        <v>0</v>
      </c>
      <c r="D235" s="43" t="n">
        <f aca="false">COUNTIF(Trades!$T$2:$T$556,B235)</f>
        <v>0</v>
      </c>
    </row>
    <row r="236" customFormat="false" ht="15" hidden="false" customHeight="true" outlineLevel="0" collapsed="false">
      <c r="B236" s="31" t="n">
        <v>45505</v>
      </c>
      <c r="C236" s="28" t="n">
        <f aca="false">SUMIF(Trades!$T$2:$T$556,B236,Trades!$P$2:$P$556)</f>
        <v>0.0008465</v>
      </c>
      <c r="D236" s="43" t="n">
        <f aca="false">COUNTIF(Trades!$T$2:$T$556,B236)</f>
        <v>6</v>
      </c>
    </row>
    <row r="237" customFormat="false" ht="15" hidden="false" customHeight="true" outlineLevel="0" collapsed="false">
      <c r="B237" s="31" t="n">
        <v>45536</v>
      </c>
      <c r="C237" s="28" t="n">
        <f aca="false">SUMIF(Trades!$T$2:$T$556,B237,Trades!$P$2:$P$556)</f>
        <v>-0.0096025</v>
      </c>
      <c r="D237" s="43" t="n">
        <f aca="false">COUNTIF(Trades!$T$2:$T$556,B237)</f>
        <v>6</v>
      </c>
    </row>
    <row r="238" customFormat="false" ht="15" hidden="false" customHeight="true" outlineLevel="0" collapsed="false">
      <c r="B238" s="31" t="n">
        <v>45566</v>
      </c>
      <c r="C238" s="28" t="n">
        <f aca="false">SUMIF(Trades!$T$2:$T$556,B238,Trades!$P$2:$P$556)</f>
        <v>-0.010072</v>
      </c>
      <c r="D238" s="43" t="n">
        <f aca="false">COUNTIF(Trades!$T$2:$T$556,B238)</f>
        <v>2</v>
      </c>
    </row>
    <row r="239" customFormat="false" ht="15" hidden="false" customHeight="true" outlineLevel="0" collapsed="false">
      <c r="B239" s="31" t="n">
        <v>45597</v>
      </c>
      <c r="C239" s="28" t="n">
        <f aca="false">SUMIF(Trades!$T$2:$T$556,B239,Trades!$P$2:$P$556)</f>
        <v>-0.009812</v>
      </c>
      <c r="D239" s="43" t="n">
        <f aca="false">COUNTIF(Trades!$T$2:$T$556,B239)</f>
        <v>4</v>
      </c>
    </row>
    <row r="240" customFormat="false" ht="15" hidden="false" customHeight="true" outlineLevel="0" collapsed="false">
      <c r="B240" s="31" t="n">
        <v>45627</v>
      </c>
      <c r="C240" s="28" t="n">
        <f aca="false">SUMIF(Trades!$T$2:$T$556,B240,Trades!$P$2:$P$556)</f>
        <v>0.011901</v>
      </c>
      <c r="D240" s="43" t="n">
        <f aca="false">COUNTIF(Trades!$T$2:$T$556,B240)</f>
        <v>2</v>
      </c>
    </row>
    <row r="241" customFormat="false" ht="15" hidden="false" customHeight="true" outlineLevel="0" collapsed="false">
      <c r="B241" s="31" t="n">
        <v>45658</v>
      </c>
      <c r="C241" s="28" t="n">
        <f aca="false">SUMIF(Trades!$T$2:$T$556,B241,Trades!$P$2:$P$556)</f>
        <v>0</v>
      </c>
      <c r="D241" s="43" t="n">
        <f aca="false">COUNTIF(Trades!$T$2:$T$556,B241)</f>
        <v>0</v>
      </c>
    </row>
    <row r="242" customFormat="false" ht="15" hidden="false" customHeight="true" outlineLevel="0" collapsed="false">
      <c r="B242" s="31" t="n">
        <v>45689</v>
      </c>
      <c r="C242" s="28" t="n">
        <f aca="false">SUMIF(Trades!$T$2:$T$556,B242,Trades!$P$2:$P$556)</f>
        <v>-0.015148</v>
      </c>
      <c r="D242" s="43" t="n">
        <f aca="false">COUNTIF(Trades!$T$2:$T$556,B242)</f>
        <v>3</v>
      </c>
    </row>
    <row r="243" customFormat="false" ht="15" hidden="false" customHeight="true" outlineLevel="0" collapsed="false">
      <c r="B243" s="31" t="n">
        <v>45717</v>
      </c>
      <c r="C243" s="28" t="n">
        <f aca="false">SUMIF(Trades!$T$2:$T$556,B243,Trades!$P$2:$P$556)</f>
        <v>0.0226745</v>
      </c>
      <c r="D243" s="43" t="n">
        <f aca="false">COUNTIF(Trades!$T$2:$T$556,B243)</f>
        <v>6</v>
      </c>
    </row>
    <row r="244" customFormat="false" ht="15" hidden="false" customHeight="true" outlineLevel="0" collapsed="false">
      <c r="B244" s="31" t="n">
        <v>45748</v>
      </c>
      <c r="C244" s="28" t="n">
        <f aca="false">SUMIF(Trades!$T$2:$T$556,B244,Trades!$P$2:$P$556)</f>
        <v>0.0001155</v>
      </c>
      <c r="D244" s="43" t="n">
        <f aca="false">COUNTIF(Trades!$T$2:$T$556,B244)</f>
        <v>1</v>
      </c>
    </row>
    <row r="245" customFormat="false" ht="15" hidden="false" customHeight="true" outlineLevel="0" collapsed="false">
      <c r="B245" s="31" t="n">
        <v>45778</v>
      </c>
      <c r="C245" s="28" t="n">
        <f aca="false">SUMIF(Trades!$T$2:$T$556,B245,Trades!$P$2:$P$556)</f>
        <v>0.0021105</v>
      </c>
      <c r="D245" s="43" t="n">
        <f aca="false">COUNTIF(Trades!$T$2:$T$556,B245)</f>
        <v>4</v>
      </c>
    </row>
    <row r="246" customFormat="false" ht="15" hidden="false" customHeight="true" outlineLevel="0" collapsed="false">
      <c r="B246" s="31" t="n">
        <v>45809</v>
      </c>
      <c r="C246" s="28" t="n">
        <f aca="false">SUMIF(Trades!$T$2:$T$556,B246,Trades!$P$2:$P$556)</f>
        <v>0.027535</v>
      </c>
      <c r="D246" s="43" t="n">
        <f aca="false">COUNTIF(Trades!$T$2:$T$556,B246)</f>
        <v>5</v>
      </c>
    </row>
    <row r="247" customFormat="false" ht="15" hidden="false" customHeight="true" outlineLevel="0" collapsed="false">
      <c r="B247" s="31" t="n">
        <v>45839</v>
      </c>
      <c r="C247" s="28" t="n">
        <f aca="false">SUMIF(Trades!$T$2:$T$556,B247,Trades!$P$2:$P$556)</f>
        <v>0.006121</v>
      </c>
      <c r="D247" s="43" t="n">
        <f aca="false">COUNTIF(Trades!$T$2:$T$556,B247)</f>
        <v>5</v>
      </c>
    </row>
    <row r="248" customFormat="false" ht="15" hidden="false" customHeight="true" outlineLevel="0" collapsed="false">
      <c r="B248" s="31" t="n">
        <v>45870</v>
      </c>
      <c r="C248" s="28" t="n">
        <f aca="false">SUMIF(Trades!$T$2:$T$556,B248,Trades!$P$2:$P$556)</f>
        <v>0.000182</v>
      </c>
      <c r="D248" s="43" t="n">
        <f aca="false">COUNTIF(Trades!$T$2:$T$556,B248)</f>
        <v>1</v>
      </c>
    </row>
    <row r="249" customFormat="false" ht="15" hidden="false" customHeight="true" outlineLevel="0" collapsed="false">
      <c r="B249" s="31" t="n">
        <v>45901</v>
      </c>
      <c r="C249" s="28" t="n">
        <f aca="false">SUMIF(Trades!$T$2:$T$556,B249,Trades!$P$2:$P$556)</f>
        <v>-0.010168</v>
      </c>
      <c r="D249" s="43" t="n">
        <f aca="false">COUNTIF(Trades!$T$2:$T$556,B249)</f>
        <v>2</v>
      </c>
    </row>
    <row r="250" customFormat="false" ht="15" hidden="false" customHeight="true" outlineLevel="0" collapsed="false">
      <c r="B250" s="31" t="n">
        <v>45931</v>
      </c>
      <c r="C250" s="28" t="n">
        <f aca="false">SUMIF(Trades!$T$2:$T$556,B250,Trades!$P$2:$P$556)</f>
        <v>0</v>
      </c>
      <c r="D250" s="43" t="n">
        <f aca="false">COUNTIF(Trades!$T$2:$T$556,B250)</f>
        <v>0</v>
      </c>
    </row>
    <row r="251" customFormat="false" ht="15" hidden="false" customHeight="true" outlineLevel="0" collapsed="false">
      <c r="B251" s="31" t="n">
        <v>45962</v>
      </c>
      <c r="C251" s="28" t="n">
        <f aca="false">SUMIF(Trades!$T$2:$T$556,B251,Trades!$P$2:$P$556)</f>
        <v>0.0223</v>
      </c>
      <c r="D251" s="43" t="n">
        <f aca="false">COUNTIF(Trades!$T$2:$T$556,B251)</f>
        <v>1</v>
      </c>
    </row>
    <row r="252" customFormat="false" ht="15" hidden="false" customHeight="true" outlineLevel="0" collapsed="false">
      <c r="B252" s="31" t="n">
        <v>45992</v>
      </c>
      <c r="C252" s="28" t="n">
        <f aca="false">SUMIF(Trades!$T$2:$T$556,B252,Trades!$P$2:$P$556)</f>
        <v>0</v>
      </c>
      <c r="D252" s="43" t="n">
        <f aca="false">COUNTIF(Trades!$T$2:$T$556,B252)</f>
        <v>0</v>
      </c>
    </row>
    <row r="253" customFormat="false" ht="15" hidden="false" customHeight="true" outlineLevel="0" collapsed="false">
      <c r="B253" s="31" t="n">
        <v>46023</v>
      </c>
      <c r="C253" s="28" t="n">
        <f aca="false">SUMIF(Trades!$T$2:$T$556,B253,Trades!$P$2:$P$556)</f>
        <v>-0.010121</v>
      </c>
      <c r="D253" s="43" t="n">
        <f aca="false">COUNTIF(Trades!$T$2:$T$556,B253)</f>
        <v>2</v>
      </c>
    </row>
    <row r="254" customFormat="false" ht="15" hidden="false" customHeight="true" outlineLevel="0" collapsed="false">
      <c r="B254" s="31" t="n">
        <v>46054</v>
      </c>
      <c r="C254" s="28" t="n">
        <f aca="false">SUMIF(Trades!$T$2:$T$556,B254,Trades!$P$2:$P$556)</f>
        <v>-0.005051</v>
      </c>
      <c r="D254" s="43" t="n">
        <f aca="false">COUNTIF(Trades!$T$2:$T$556,B254)</f>
        <v>1</v>
      </c>
    </row>
    <row r="255" customFormat="false" ht="15" hidden="false" customHeight="true" outlineLevel="0" collapsed="false">
      <c r="B255" s="31" t="n">
        <v>46082</v>
      </c>
      <c r="C255" s="28" t="n">
        <f aca="false">SUMIF(Trades!$T$2:$T$556,B255,Trades!$P$2:$P$556)</f>
        <v>-0.0044955</v>
      </c>
      <c r="D255" s="43" t="n">
        <f aca="false">COUNTIF(Trades!$T$2:$T$556,B255)</f>
        <v>4</v>
      </c>
    </row>
    <row r="256" customFormat="false" ht="15" hidden="false" customHeight="true" outlineLevel="0" collapsed="false">
      <c r="B256" s="31" t="n">
        <v>46113</v>
      </c>
      <c r="C256" s="28" t="n">
        <f aca="false">SUMIF(Trades!$T$2:$T$556,B256,Trades!$P$2:$P$556)</f>
        <v>0.020684</v>
      </c>
      <c r="D256" s="43" t="n">
        <f aca="false">COUNTIF(Trades!$T$2:$T$556,B256)</f>
        <v>1</v>
      </c>
    </row>
    <row r="257" customFormat="false" ht="15" hidden="false" customHeight="true" outlineLevel="0" collapsed="false">
      <c r="B257" s="31" t="n">
        <v>46143</v>
      </c>
      <c r="C257" s="28" t="n">
        <f aca="false">SUMIF(Trades!$T$2:$T$556,B257,Trades!$P$2:$P$556)</f>
        <v>0.000170999999999999</v>
      </c>
      <c r="D257" s="43" t="n">
        <f aca="false">COUNTIF(Trades!$T$2:$T$556,B257)</f>
        <v>4</v>
      </c>
    </row>
    <row r="258" customFormat="false" ht="15" hidden="false" customHeight="true" outlineLevel="0" collapsed="false">
      <c r="B258" s="31" t="n">
        <v>46174</v>
      </c>
      <c r="C258" s="28" t="n">
        <f aca="false">SUMIF(Trades!$T$2:$T$556,B258,Trades!$P$2:$P$556)</f>
        <v>0.0271545</v>
      </c>
      <c r="D258" s="43" t="n">
        <f aca="false">COUNTIF(Trades!$T$2:$T$556,B258)</f>
        <v>5</v>
      </c>
    </row>
    <row r="259" customFormat="false" ht="15" hidden="false" customHeight="true" outlineLevel="0" collapsed="false">
      <c r="B259" s="31" t="n">
        <v>46204</v>
      </c>
      <c r="C259" s="28" t="n">
        <f aca="false">SUMIF(Trades!$T$2:$T$556,B259,Trades!$P$2:$P$556)</f>
        <v>0</v>
      </c>
      <c r="D259" s="43" t="n">
        <f aca="false">COUNTIF(Trades!$T$2:$T$556,B259)</f>
        <v>0</v>
      </c>
    </row>
    <row r="260" customFormat="false" ht="15" hidden="false" customHeight="true" outlineLevel="0" collapsed="false">
      <c r="B260" s="31" t="n">
        <v>46235</v>
      </c>
      <c r="C260" s="28" t="n">
        <f aca="false">SUMIF(Trades!$T$2:$T$556,B260,Trades!$P$2:$P$556)</f>
        <v>-0.009965</v>
      </c>
      <c r="D260" s="43" t="n">
        <f aca="false">COUNTIF(Trades!$T$2:$T$556,B260)</f>
        <v>3</v>
      </c>
    </row>
    <row r="261" customFormat="false" ht="15" hidden="false" customHeight="true" outlineLevel="0" collapsed="false">
      <c r="B261" s="31" t="n">
        <v>46266</v>
      </c>
      <c r="C261" s="28" t="n">
        <f aca="false">SUMIF(Trades!$T$2:$T$556,B261,Trades!$P$2:$P$556)</f>
        <v>0.0154365</v>
      </c>
      <c r="D261" s="43" t="n">
        <f aca="false">COUNTIF(Trades!$T$2:$T$556,B261)</f>
        <v>2</v>
      </c>
    </row>
    <row r="262" customFormat="false" ht="15" hidden="false" customHeight="true" outlineLevel="0" collapsed="false">
      <c r="B262" s="31" t="n">
        <v>46296</v>
      </c>
      <c r="C262" s="28" t="n">
        <f aca="false">SUMIF(Trades!$T$2:$T$556,B262,Trades!$P$2:$P$556)</f>
        <v>0</v>
      </c>
      <c r="D262" s="43" t="n">
        <f aca="false">COUNTIF(Trades!$T$2:$T$556,B262)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7" min="6" style="1" width="16"/>
    <col collapsed="false" customWidth="true" hidden="false" outlineLevel="0" max="8" min="8" style="1" width="3"/>
  </cols>
  <sheetData>
    <row r="2" customFormat="false" ht="17.25" hidden="false" customHeight="true" outlineLevel="0" collapsed="false">
      <c r="B2" s="2" t="s">
        <v>86</v>
      </c>
    </row>
    <row r="3" customFormat="false" ht="15" hidden="false" customHeight="true" outlineLevel="0" collapsed="false">
      <c r="B3" s="3" t="s">
        <v>87</v>
      </c>
    </row>
    <row r="5" customFormat="false" ht="23.25" hidden="false" customHeight="true" outlineLevel="0" collapsed="false">
      <c r="B5" s="16" t="s">
        <v>88</v>
      </c>
      <c r="C5" s="16" t="s">
        <v>6</v>
      </c>
      <c r="D5" s="16" t="s">
        <v>89</v>
      </c>
      <c r="E5" s="16" t="s">
        <v>90</v>
      </c>
      <c r="F5" s="16" t="s">
        <v>91</v>
      </c>
      <c r="G5" s="16" t="s">
        <v>92</v>
      </c>
    </row>
    <row r="6" customFormat="false" ht="15" hidden="false" customHeight="true" outlineLevel="0" collapsed="false">
      <c r="B6" s="17" t="s">
        <v>93</v>
      </c>
      <c r="C6" s="37" t="n">
        <v>525</v>
      </c>
      <c r="D6" s="44" t="n">
        <v>0.084</v>
      </c>
      <c r="E6" s="44" t="n">
        <v>0.22</v>
      </c>
      <c r="F6" s="44" t="n">
        <v>-0.062</v>
      </c>
      <c r="G6" s="44" t="n">
        <v>-0.015</v>
      </c>
    </row>
    <row r="7" customFormat="false" ht="15" hidden="false" customHeight="true" outlineLevel="0" collapsed="false">
      <c r="B7" s="17" t="s">
        <v>94</v>
      </c>
      <c r="C7" s="37" t="n">
        <v>693</v>
      </c>
      <c r="D7" s="44" t="n">
        <v>0.055</v>
      </c>
      <c r="E7" s="44" t="n">
        <v>0.153</v>
      </c>
      <c r="F7" s="44" t="n">
        <v>-0.072</v>
      </c>
      <c r="G7" s="44" t="n">
        <v>0.022</v>
      </c>
    </row>
    <row r="8" customFormat="false" ht="15" hidden="false" customHeight="true" outlineLevel="0" collapsed="false">
      <c r="B8" s="45" t="s">
        <v>95</v>
      </c>
      <c r="C8" s="46" t="n">
        <v>555</v>
      </c>
      <c r="D8" s="47" t="n">
        <v>0.211</v>
      </c>
      <c r="E8" s="47" t="n">
        <v>0.123</v>
      </c>
      <c r="F8" s="47" t="n">
        <v>0.335</v>
      </c>
      <c r="G8" s="47" t="n">
        <v>0.201</v>
      </c>
    </row>
    <row r="9" customFormat="false" ht="15" hidden="false" customHeight="true" outlineLevel="0" collapsed="false">
      <c r="B9" s="17" t="s">
        <v>96</v>
      </c>
      <c r="C9" s="37" t="n">
        <v>703</v>
      </c>
      <c r="D9" s="44" t="n">
        <v>0.172</v>
      </c>
      <c r="E9" s="44" t="n">
        <v>0.206</v>
      </c>
      <c r="F9" s="44" t="n">
        <v>0.234</v>
      </c>
      <c r="G9" s="44" t="n">
        <v>0.027</v>
      </c>
    </row>
    <row r="12" customFormat="false" ht="23.25" hidden="false" customHeight="true" outlineLevel="0" collapsed="false">
      <c r="B12" s="16" t="s">
        <v>97</v>
      </c>
      <c r="C12" s="16" t="s">
        <v>6</v>
      </c>
      <c r="D12" s="16" t="s">
        <v>89</v>
      </c>
      <c r="E12" s="16" t="s">
        <v>92</v>
      </c>
      <c r="F12" s="16" t="s">
        <v>98</v>
      </c>
    </row>
    <row r="13" customFormat="false" ht="15" hidden="false" customHeight="true" outlineLevel="0" collapsed="false">
      <c r="B13" s="17" t="s">
        <v>99</v>
      </c>
      <c r="C13" s="37" t="n">
        <v>536</v>
      </c>
      <c r="D13" s="44" t="n">
        <v>0.121</v>
      </c>
      <c r="E13" s="44" t="n">
        <v>0.07</v>
      </c>
      <c r="F13" s="37" t="n">
        <v>41</v>
      </c>
    </row>
    <row r="14" customFormat="false" ht="15" hidden="false" customHeight="true" outlineLevel="0" collapsed="false">
      <c r="B14" s="17" t="s">
        <v>100</v>
      </c>
      <c r="C14" s="37" t="n">
        <v>555</v>
      </c>
      <c r="D14" s="44" t="n">
        <v>0.211</v>
      </c>
      <c r="E14" s="44" t="n">
        <v>0.201</v>
      </c>
      <c r="F14" s="37" t="n">
        <v>55</v>
      </c>
    </row>
    <row r="15" customFormat="false" ht="15" hidden="false" customHeight="true" outlineLevel="0" collapsed="false">
      <c r="B15" s="17" t="s">
        <v>101</v>
      </c>
      <c r="C15" s="37" t="n">
        <v>497</v>
      </c>
      <c r="D15" s="44" t="n">
        <v>0.088</v>
      </c>
      <c r="E15" s="44" t="n">
        <v>-0.131</v>
      </c>
      <c r="F15" s="37" t="n">
        <v>68</v>
      </c>
    </row>
    <row r="17" customFormat="false" ht="15" hidden="false" customHeight="true" outlineLevel="0" collapsed="false">
      <c r="B17" s="3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90"/>
  </cols>
  <sheetData>
    <row r="2" customFormat="false" ht="17.25" hidden="false" customHeight="true" outlineLevel="0" collapsed="false">
      <c r="B2" s="2" t="s">
        <v>103</v>
      </c>
    </row>
    <row r="4" customFormat="false" ht="15" hidden="false" customHeight="true" outlineLevel="0" collapsed="false">
      <c r="B4" s="7" t="s">
        <v>104</v>
      </c>
      <c r="C4" s="48"/>
    </row>
    <row r="5" customFormat="false" ht="23.25" hidden="false" customHeight="true" outlineLevel="0" collapsed="false">
      <c r="B5" s="49" t="s">
        <v>105</v>
      </c>
      <c r="C5" s="48" t="s">
        <v>106</v>
      </c>
    </row>
    <row r="6" customFormat="false" ht="23.25" hidden="false" customHeight="true" outlineLevel="0" collapsed="false">
      <c r="B6" s="49" t="s">
        <v>107</v>
      </c>
      <c r="C6" s="48" t="s">
        <v>108</v>
      </c>
    </row>
    <row r="7" customFormat="false" ht="23.25" hidden="false" customHeight="true" outlineLevel="0" collapsed="false">
      <c r="B7" s="49" t="s">
        <v>109</v>
      </c>
      <c r="C7" s="48" t="s">
        <v>110</v>
      </c>
    </row>
    <row r="8" customFormat="false" ht="15" hidden="false" customHeight="true" outlineLevel="0" collapsed="false">
      <c r="B8" s="49" t="s">
        <v>111</v>
      </c>
      <c r="C8" s="48" t="s">
        <v>112</v>
      </c>
    </row>
    <row r="9" customFormat="false" ht="23.25" hidden="false" customHeight="true" outlineLevel="0" collapsed="false">
      <c r="B9" s="49" t="s">
        <v>113</v>
      </c>
      <c r="C9" s="48" t="s">
        <v>114</v>
      </c>
    </row>
    <row r="10" customFormat="false" ht="23.25" hidden="false" customHeight="true" outlineLevel="0" collapsed="false">
      <c r="B10" s="49" t="s">
        <v>115</v>
      </c>
      <c r="C10" s="48" t="s">
        <v>116</v>
      </c>
    </row>
    <row r="11" customFormat="false" ht="15" hidden="false" customHeight="true" outlineLevel="0" collapsed="false">
      <c r="B11" s="49" t="s">
        <v>117</v>
      </c>
      <c r="C11" s="48" t="s">
        <v>118</v>
      </c>
    </row>
    <row r="12" customFormat="false" ht="15" hidden="false" customHeight="true" outlineLevel="0" collapsed="false">
      <c r="B12" s="49"/>
      <c r="C12" s="48"/>
    </row>
    <row r="13" customFormat="false" ht="15" hidden="false" customHeight="true" outlineLevel="0" collapsed="false">
      <c r="B13" s="7" t="s">
        <v>119</v>
      </c>
      <c r="C13" s="48"/>
    </row>
    <row r="14" customFormat="false" ht="23.25" hidden="false" customHeight="true" outlineLevel="0" collapsed="false">
      <c r="B14" s="49" t="s">
        <v>120</v>
      </c>
      <c r="C14" s="48" t="s">
        <v>121</v>
      </c>
    </row>
    <row r="15" customFormat="false" ht="15" hidden="false" customHeight="true" outlineLevel="0" collapsed="false">
      <c r="B15" s="49" t="s">
        <v>122</v>
      </c>
      <c r="C15" s="48" t="s">
        <v>123</v>
      </c>
    </row>
    <row r="16" customFormat="false" ht="15" hidden="false" customHeight="true" outlineLevel="0" collapsed="false">
      <c r="B16" s="49" t="s">
        <v>124</v>
      </c>
      <c r="C16" s="48" t="s">
        <v>125</v>
      </c>
    </row>
    <row r="17" customFormat="false" ht="23.25" hidden="false" customHeight="true" outlineLevel="0" collapsed="false">
      <c r="B17" s="49" t="s">
        <v>126</v>
      </c>
      <c r="C17" s="48" t="s">
        <v>127</v>
      </c>
    </row>
    <row r="18" customFormat="false" ht="15" hidden="false" customHeight="true" outlineLevel="0" collapsed="false">
      <c r="B18" s="49"/>
      <c r="C18" s="48"/>
    </row>
    <row r="19" customFormat="false" ht="15" hidden="false" customHeight="true" outlineLevel="0" collapsed="false">
      <c r="B19" s="7" t="s">
        <v>128</v>
      </c>
      <c r="C19" s="48"/>
    </row>
    <row r="20" customFormat="false" ht="15" hidden="false" customHeight="true" outlineLevel="0" collapsed="false">
      <c r="B20" s="49" t="s">
        <v>129</v>
      </c>
      <c r="C20" s="48" t="s">
        <v>130</v>
      </c>
    </row>
    <row r="21" customFormat="false" ht="15" hidden="false" customHeight="true" outlineLevel="0" collapsed="false">
      <c r="B21" s="49"/>
      <c r="C21" s="4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2026-10-17T03:28:20Z</dcterms:created>
  <dc:creator>openpyxl</dc:creator>
  <dc:description/>
  <dc:language>en-US</dc:language>
  <cp:lastModifiedBy/>
  <dcterms:modified xsi:type="dcterms:W3CDTF">2026-10-17T03:57:26Z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